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Tracker" state="visible" r:id="rId4"/>
    <sheet sheetId="2" name="Monthly Summary" state="visible" r:id="rId5"/>
    <sheet sheetId="3" name="Bonus Tracker" state="visible" r:id="rId6"/>
  </sheets>
  <calcPr calcId="171027"/>
</workbook>
</file>

<file path=xl/sharedStrings.xml><?xml version="1.0" encoding="utf-8"?>
<sst xmlns="http://schemas.openxmlformats.org/spreadsheetml/2006/main" count="372" uniqueCount="64">
  <si>
    <t>Date</t>
  </si>
  <si>
    <t>Center</t>
  </si>
  <si>
    <t>Base Pay</t>
  </si>
  <si>
    <t>Bonus</t>
  </si>
  <si>
    <t>Referral</t>
  </si>
  <si>
    <t>Total</t>
  </si>
  <si>
    <t>Wait Time (min)</t>
  </si>
  <si>
    <t>Donation Time (min)</t>
  </si>
  <si>
    <t>Mileage (round trip)</t>
  </si>
  <si>
    <t>Notes</t>
  </si>
  <si>
    <t>1/2/2026</t>
  </si>
  <si>
    <t>BioLife</t>
  </si>
  <si>
    <t>New donor bonus!</t>
  </si>
  <si>
    <t>1/5/2026</t>
  </si>
  <si>
    <t>CSL Plasma</t>
  </si>
  <si>
    <t/>
  </si>
  <si>
    <t>1/9/2026</t>
  </si>
  <si>
    <t>Grifols</t>
  </si>
  <si>
    <t>1/12/2026</t>
  </si>
  <si>
    <t>TOTALS</t>
  </si>
  <si>
    <t>Month</t>
  </si>
  <si>
    <t>Donations</t>
  </si>
  <si>
    <t>Bonuses</t>
  </si>
  <si>
    <t>Referrals</t>
  </si>
  <si>
    <t>Total Earned</t>
  </si>
  <si>
    <t>Miles Driven</t>
  </si>
  <si>
    <t>Mileage Deduction</t>
  </si>
  <si>
    <t>Net Income</t>
  </si>
  <si>
    <t>Avg $/Donation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</si>
  <si>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</si>
  <si>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</si>
  <si>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</si>
  <si>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</si>
  <si>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</si>
  <si>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</si>
  <si>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</si>
  <si>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</si>
  <si>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</si>
  <si>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</si>
  <si>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</si>
  <si>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</si>
  <si>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</si>
  <si>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Bonus Type</t>
  </si>
  <si>
    <t>Requirement</t>
  </si>
  <si>
    <t>Bonus Amount</t>
  </si>
  <si>
    <t>Status</t>
  </si>
  <si>
    <t>Deadline</t>
  </si>
  <si>
    <t>Donations Done</t>
  </si>
  <si>
    <t>Donations Needed</t>
  </si>
  <si>
    <t>Progress</t>
  </si>
  <si>
    <t>New Donor</t>
  </si>
  <si>
    <t>8 donations in 45 days</t>
  </si>
  <si>
    <t>Active</t>
  </si>
  <si>
    <t>2/15/2026</t>
  </si>
  <si>
    <t>10 donations in 60 days</t>
  </si>
  <si>
    <t>3/1/2026</t>
  </si>
  <si>
    <t>6 donations in 30 days</t>
  </si>
  <si>
    <t>Not Started</t>
  </si>
  <si>
    <t>Friend completes 2 donations</t>
  </si>
  <si>
    <t>Pending</t>
  </si>
  <si>
    <t>CSL</t>
  </si>
  <si>
    <t>Loyalty</t>
  </si>
  <si>
    <t>Donate 8x in a month</t>
  </si>
  <si>
    <t>1/31/2026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</si>
</sst>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5">
    <fill>
      <patternFill patternType="none"/>
    </fill>
    <fill>
      <patternFill patternType="gray125"/>
    </fill>
    <fill>
      <patternFill patternType="solid">
        <fgColor rgb="0D9488"/>
      </patternFill>
    </fill>
    <fill>
      <patternFill patternType="solid">
        <fgColor rgb="F0FDFA"/>
      </patternFill>
    </fill>
    <fill>
      <patternFill patternType="solid">
        <fgColor rgb="F97316"/>
      </patternFill>
    </fill>
  </fills>
  <borders count="3"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164" fontId="0" fillId="3" borderId="2" xfId="0" applyNumberForma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9" fontId="1" fillId="2" borderId="1" xfId="0" applyNumberFormat="1" applyFont="1" applyFill="1" applyBorder="1" applyAlignment="1">
      <alignment horizontal="center" vertical="center" wrapText="1"/>
    </xf>
    <xf numFmtId="9" fontId="0" fillId="3" borderId="2" xfId="0" applyNumberFormat="1" applyFill="1" applyBorder="1" applyAlignment="1">
      <alignment vertical="center" wrapText="1"/>
    </xf>
    <xf numFmtId="9" fontId="0" fillId="0" borderId="2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FormatPr defaultRowHeight="15" outlineLevelRow="0" outlineLevelCol="0" x14ac:dyDescent="55"/>
  <cols>
    <col min="1" max="1" width="14" customWidth="1"/>
    <col min="2" max="2" width="18" customWidth="1"/>
    <col min="3" max="6" width="12" style="1" customWidth="1"/>
    <col min="7" max="7" width="14" customWidth="1"/>
    <col min="8" max="9" width="16" customWidth="1"/>
    <col min="10" max="10" width="25" customWidth="1"/>
  </cols>
  <sheetData>
    <row r="1" ht="28" customHeight="1" spans="1:10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4" t="s">
        <v>10</v>
      </c>
      <c r="B2" s="4" t="s">
        <v>11</v>
      </c>
      <c r="C2" s="5">
        <v>55</v>
      </c>
      <c r="D2" s="5">
        <v>100</v>
      </c>
      <c r="E2" s="5">
        <v>0</v>
      </c>
      <c r="F2" s="5">
        <f>C2+D2+E2</f>
      </c>
      <c r="G2" s="4">
        <v>15</v>
      </c>
      <c r="H2" s="4">
        <v>45</v>
      </c>
      <c r="I2" s="4">
        <v>12</v>
      </c>
      <c r="J2" s="4" t="s">
        <v>12</v>
      </c>
    </row>
    <row r="3" spans="1:10" x14ac:dyDescent="0.25">
      <c r="A3" s="6" t="s">
        <v>13</v>
      </c>
      <c r="B3" s="6" t="s">
        <v>14</v>
      </c>
      <c r="C3" s="7">
        <v>50</v>
      </c>
      <c r="D3" s="7">
        <v>0</v>
      </c>
      <c r="E3" s="7">
        <v>0</v>
      </c>
      <c r="F3" s="7">
        <f>C3+D3+E3</f>
      </c>
      <c r="G3" s="6">
        <v>15</v>
      </c>
      <c r="H3" s="6">
        <v>45</v>
      </c>
      <c r="I3" s="6">
        <v>12</v>
      </c>
      <c r="J3" s="6" t="s">
        <v>15</v>
      </c>
    </row>
    <row r="4" spans="1:10" x14ac:dyDescent="0.25">
      <c r="A4" s="4" t="s">
        <v>16</v>
      </c>
      <c r="B4" s="4" t="s">
        <v>17</v>
      </c>
      <c r="C4" s="5">
        <v>45</v>
      </c>
      <c r="D4" s="5">
        <v>0</v>
      </c>
      <c r="E4" s="5">
        <v>0</v>
      </c>
      <c r="F4" s="5">
        <f>C4+D4+E4</f>
      </c>
      <c r="G4" s="4">
        <v>15</v>
      </c>
      <c r="H4" s="4">
        <v>45</v>
      </c>
      <c r="I4" s="4">
        <v>12</v>
      </c>
      <c r="J4" s="4" t="s">
        <v>15</v>
      </c>
    </row>
    <row r="5" spans="1:10" x14ac:dyDescent="0.25">
      <c r="A5" s="6" t="s">
        <v>18</v>
      </c>
      <c r="B5" s="6" t="s">
        <v>11</v>
      </c>
      <c r="C5" s="7">
        <v>55</v>
      </c>
      <c r="D5" s="7">
        <v>0</v>
      </c>
      <c r="E5" s="7">
        <v>0</v>
      </c>
      <c r="F5" s="7">
        <f>C5+D5+E5</f>
      </c>
      <c r="G5" s="6">
        <v>15</v>
      </c>
      <c r="H5" s="6">
        <v>45</v>
      </c>
      <c r="I5" s="6">
        <v>12</v>
      </c>
      <c r="J5" s="6" t="s">
        <v>15</v>
      </c>
    </row>
    <row r="6" spans="1:10" x14ac:dyDescent="0.25">
      <c r="A6" s="4" t="s">
        <v>15</v>
      </c>
      <c r="B6" s="4" t="s">
        <v>15</v>
      </c>
      <c r="C6" s="5" t="s">
        <v>15</v>
      </c>
      <c r="D6" s="5" t="s">
        <v>15</v>
      </c>
      <c r="E6" s="5" t="s">
        <v>15</v>
      </c>
      <c r="F6" s="5">
        <f>C6+D6+E6</f>
      </c>
      <c r="G6" s="4" t="s">
        <v>15</v>
      </c>
      <c r="H6" s="4" t="s">
        <v>15</v>
      </c>
      <c r="I6" s="4" t="s">
        <v>15</v>
      </c>
      <c r="J6" s="4" t="s">
        <v>15</v>
      </c>
    </row>
    <row r="7" spans="1:10" x14ac:dyDescent="0.25">
      <c r="A7" s="6" t="s">
        <v>15</v>
      </c>
      <c r="B7" s="6" t="s">
        <v>15</v>
      </c>
      <c r="C7" s="7" t="s">
        <v>15</v>
      </c>
      <c r="D7" s="7" t="s">
        <v>15</v>
      </c>
      <c r="E7" s="7" t="s">
        <v>15</v>
      </c>
      <c r="F7" s="7">
        <f>C7+D7+E7</f>
      </c>
      <c r="G7" s="6" t="s">
        <v>15</v>
      </c>
      <c r="H7" s="6" t="s">
        <v>15</v>
      </c>
      <c r="I7" s="6" t="s">
        <v>15</v>
      </c>
      <c r="J7" s="6" t="s">
        <v>15</v>
      </c>
    </row>
    <row r="8" spans="1:10" x14ac:dyDescent="0.25">
      <c r="A8" s="4" t="s">
        <v>15</v>
      </c>
      <c r="B8" s="4" t="s">
        <v>15</v>
      </c>
      <c r="C8" s="5" t="s">
        <v>15</v>
      </c>
      <c r="D8" s="5" t="s">
        <v>15</v>
      </c>
      <c r="E8" s="5" t="s">
        <v>15</v>
      </c>
      <c r="F8" s="5">
        <f>C8+D8+E8</f>
      </c>
      <c r="G8" s="4" t="s">
        <v>15</v>
      </c>
      <c r="H8" s="4" t="s">
        <v>15</v>
      </c>
      <c r="I8" s="4" t="s">
        <v>15</v>
      </c>
      <c r="J8" s="4" t="s">
        <v>15</v>
      </c>
    </row>
    <row r="9" spans="1:10" x14ac:dyDescent="0.25">
      <c r="A9" s="6" t="s">
        <v>15</v>
      </c>
      <c r="B9" s="6" t="s">
        <v>15</v>
      </c>
      <c r="C9" s="7" t="s">
        <v>15</v>
      </c>
      <c r="D9" s="7" t="s">
        <v>15</v>
      </c>
      <c r="E9" s="7" t="s">
        <v>15</v>
      </c>
      <c r="F9" s="7">
        <f>C9+D9+E9</f>
      </c>
      <c r="G9" s="6" t="s">
        <v>15</v>
      </c>
      <c r="H9" s="6" t="s">
        <v>15</v>
      </c>
      <c r="I9" s="6" t="s">
        <v>15</v>
      </c>
      <c r="J9" s="6" t="s">
        <v>15</v>
      </c>
    </row>
    <row r="10" spans="1:10" x14ac:dyDescent="0.25">
      <c r="A10" s="4" t="s">
        <v>15</v>
      </c>
      <c r="B10" s="4" t="s">
        <v>15</v>
      </c>
      <c r="C10" s="5" t="s">
        <v>15</v>
      </c>
      <c r="D10" s="5" t="s">
        <v>15</v>
      </c>
      <c r="E10" s="5" t="s">
        <v>15</v>
      </c>
      <c r="F10" s="5">
        <f>C10+D10+E10</f>
      </c>
      <c r="G10" s="4" t="s">
        <v>15</v>
      </c>
      <c r="H10" s="4" t="s">
        <v>15</v>
      </c>
      <c r="I10" s="4" t="s">
        <v>15</v>
      </c>
      <c r="J10" s="4" t="s">
        <v>15</v>
      </c>
    </row>
    <row r="11" spans="1:10" x14ac:dyDescent="0.25">
      <c r="A11" s="6" t="s">
        <v>15</v>
      </c>
      <c r="B11" s="6" t="s">
        <v>15</v>
      </c>
      <c r="C11" s="7" t="s">
        <v>15</v>
      </c>
      <c r="D11" s="7" t="s">
        <v>15</v>
      </c>
      <c r="E11" s="7" t="s">
        <v>15</v>
      </c>
      <c r="F11" s="7">
        <f>C11+D11+E11</f>
      </c>
      <c r="G11" s="6" t="s">
        <v>15</v>
      </c>
      <c r="H11" s="6" t="s">
        <v>15</v>
      </c>
      <c r="I11" s="6" t="s">
        <v>15</v>
      </c>
      <c r="J11" s="6" t="s">
        <v>15</v>
      </c>
    </row>
    <row r="12" spans="1:10" x14ac:dyDescent="0.25">
      <c r="A12" s="4" t="s">
        <v>15</v>
      </c>
      <c r="B12" s="4" t="s">
        <v>15</v>
      </c>
      <c r="C12" s="5" t="s">
        <v>15</v>
      </c>
      <c r="D12" s="5" t="s">
        <v>15</v>
      </c>
      <c r="E12" s="5" t="s">
        <v>15</v>
      </c>
      <c r="F12" s="5">
        <f>C12+D12+E12</f>
      </c>
      <c r="G12" s="4" t="s">
        <v>15</v>
      </c>
      <c r="H12" s="4" t="s">
        <v>15</v>
      </c>
      <c r="I12" s="4" t="s">
        <v>15</v>
      </c>
      <c r="J12" s="4" t="s">
        <v>15</v>
      </c>
    </row>
    <row r="13" spans="1:10" x14ac:dyDescent="0.25">
      <c r="A13" s="6" t="s">
        <v>15</v>
      </c>
      <c r="B13" s="6" t="s">
        <v>15</v>
      </c>
      <c r="C13" s="7" t="s">
        <v>15</v>
      </c>
      <c r="D13" s="7" t="s">
        <v>15</v>
      </c>
      <c r="E13" s="7" t="s">
        <v>15</v>
      </c>
      <c r="F13" s="7">
        <f>C13+D13+E13</f>
      </c>
      <c r="G13" s="6" t="s">
        <v>15</v>
      </c>
      <c r="H13" s="6" t="s">
        <v>15</v>
      </c>
      <c r="I13" s="6" t="s">
        <v>15</v>
      </c>
      <c r="J13" s="6" t="s">
        <v>15</v>
      </c>
    </row>
    <row r="14" spans="1:10" x14ac:dyDescent="0.25">
      <c r="A14" s="4" t="s">
        <v>15</v>
      </c>
      <c r="B14" s="4" t="s">
        <v>15</v>
      </c>
      <c r="C14" s="5" t="s">
        <v>15</v>
      </c>
      <c r="D14" s="5" t="s">
        <v>15</v>
      </c>
      <c r="E14" s="5" t="s">
        <v>15</v>
      </c>
      <c r="F14" s="5">
        <f>C14+D14+E14</f>
      </c>
      <c r="G14" s="4" t="s">
        <v>15</v>
      </c>
      <c r="H14" s="4" t="s">
        <v>15</v>
      </c>
      <c r="I14" s="4" t="s">
        <v>15</v>
      </c>
      <c r="J14" s="4" t="s">
        <v>15</v>
      </c>
    </row>
    <row r="15" spans="1:10" x14ac:dyDescent="0.25">
      <c r="A15" s="6" t="s">
        <v>15</v>
      </c>
      <c r="B15" s="6" t="s">
        <v>15</v>
      </c>
      <c r="C15" s="7" t="s">
        <v>15</v>
      </c>
      <c r="D15" s="7" t="s">
        <v>15</v>
      </c>
      <c r="E15" s="7" t="s">
        <v>15</v>
      </c>
      <c r="F15" s="7">
        <f>C15+D15+E15</f>
      </c>
      <c r="G15" s="6" t="s">
        <v>15</v>
      </c>
      <c r="H15" s="6" t="s">
        <v>15</v>
      </c>
      <c r="I15" s="6" t="s">
        <v>15</v>
      </c>
      <c r="J15" s="6" t="s">
        <v>15</v>
      </c>
    </row>
    <row r="16" spans="1:10" x14ac:dyDescent="0.25">
      <c r="A16" s="4" t="s">
        <v>15</v>
      </c>
      <c r="B16" s="4" t="s">
        <v>15</v>
      </c>
      <c r="C16" s="5" t="s">
        <v>15</v>
      </c>
      <c r="D16" s="5" t="s">
        <v>15</v>
      </c>
      <c r="E16" s="5" t="s">
        <v>15</v>
      </c>
      <c r="F16" s="5">
        <f>C16+D16+E16</f>
      </c>
      <c r="G16" s="4" t="s">
        <v>15</v>
      </c>
      <c r="H16" s="4" t="s">
        <v>15</v>
      </c>
      <c r="I16" s="4" t="s">
        <v>15</v>
      </c>
      <c r="J16" s="4" t="s">
        <v>15</v>
      </c>
    </row>
    <row r="17" spans="1:10" x14ac:dyDescent="0.25">
      <c r="A17" s="6" t="s">
        <v>15</v>
      </c>
      <c r="B17" s="6" t="s">
        <v>15</v>
      </c>
      <c r="C17" s="7" t="s">
        <v>15</v>
      </c>
      <c r="D17" s="7" t="s">
        <v>15</v>
      </c>
      <c r="E17" s="7" t="s">
        <v>15</v>
      </c>
      <c r="F17" s="7">
        <f>C17+D17+E17</f>
      </c>
      <c r="G17" s="6" t="s">
        <v>15</v>
      </c>
      <c r="H17" s="6" t="s">
        <v>15</v>
      </c>
      <c r="I17" s="6" t="s">
        <v>15</v>
      </c>
      <c r="J17" s="6" t="s">
        <v>15</v>
      </c>
    </row>
    <row r="18" spans="1:10" x14ac:dyDescent="0.25">
      <c r="A18" s="4" t="s">
        <v>15</v>
      </c>
      <c r="B18" s="4" t="s">
        <v>15</v>
      </c>
      <c r="C18" s="5" t="s">
        <v>15</v>
      </c>
      <c r="D18" s="5" t="s">
        <v>15</v>
      </c>
      <c r="E18" s="5" t="s">
        <v>15</v>
      </c>
      <c r="F18" s="5">
        <f>C18+D18+E18</f>
      </c>
      <c r="G18" s="4" t="s">
        <v>15</v>
      </c>
      <c r="H18" s="4" t="s">
        <v>15</v>
      </c>
      <c r="I18" s="4" t="s">
        <v>15</v>
      </c>
      <c r="J18" s="4" t="s">
        <v>15</v>
      </c>
    </row>
    <row r="19" spans="1:10" x14ac:dyDescent="0.25">
      <c r="A19" s="6" t="s">
        <v>15</v>
      </c>
      <c r="B19" s="6" t="s">
        <v>15</v>
      </c>
      <c r="C19" s="7" t="s">
        <v>15</v>
      </c>
      <c r="D19" s="7" t="s">
        <v>15</v>
      </c>
      <c r="E19" s="7" t="s">
        <v>15</v>
      </c>
      <c r="F19" s="7">
        <f>C19+D19+E19</f>
      </c>
      <c r="G19" s="6" t="s">
        <v>15</v>
      </c>
      <c r="H19" s="6" t="s">
        <v>15</v>
      </c>
      <c r="I19" s="6" t="s">
        <v>15</v>
      </c>
      <c r="J19" s="6" t="s">
        <v>15</v>
      </c>
    </row>
    <row r="20" spans="1:10" x14ac:dyDescent="0.25">
      <c r="A20" s="4" t="s">
        <v>15</v>
      </c>
      <c r="B20" s="4" t="s">
        <v>15</v>
      </c>
      <c r="C20" s="5" t="s">
        <v>15</v>
      </c>
      <c r="D20" s="5" t="s">
        <v>15</v>
      </c>
      <c r="E20" s="5" t="s">
        <v>15</v>
      </c>
      <c r="F20" s="5">
        <f>C20+D20+E20</f>
      </c>
      <c r="G20" s="4" t="s">
        <v>15</v>
      </c>
      <c r="H20" s="4" t="s">
        <v>15</v>
      </c>
      <c r="I20" s="4" t="s">
        <v>15</v>
      </c>
      <c r="J20" s="4" t="s">
        <v>15</v>
      </c>
    </row>
    <row r="21" spans="1:10" x14ac:dyDescent="0.25">
      <c r="A21" s="6" t="s">
        <v>15</v>
      </c>
      <c r="B21" s="6" t="s">
        <v>15</v>
      </c>
      <c r="C21" s="7" t="s">
        <v>15</v>
      </c>
      <c r="D21" s="7" t="s">
        <v>15</v>
      </c>
      <c r="E21" s="7" t="s">
        <v>15</v>
      </c>
      <c r="F21" s="7">
        <f>C21+D21+E21</f>
      </c>
      <c r="G21" s="6" t="s">
        <v>15</v>
      </c>
      <c r="H21" s="6" t="s">
        <v>15</v>
      </c>
      <c r="I21" s="6" t="s">
        <v>15</v>
      </c>
      <c r="J21" s="6" t="s">
        <v>15</v>
      </c>
    </row>
    <row r="22" spans="1:10" x14ac:dyDescent="0.25">
      <c r="A22" s="4" t="s">
        <v>15</v>
      </c>
      <c r="B22" s="4" t="s">
        <v>15</v>
      </c>
      <c r="C22" s="5" t="s">
        <v>15</v>
      </c>
      <c r="D22" s="5" t="s">
        <v>15</v>
      </c>
      <c r="E22" s="5" t="s">
        <v>15</v>
      </c>
      <c r="F22" s="5">
        <f>C22+D22+E22</f>
      </c>
      <c r="G22" s="4" t="s">
        <v>15</v>
      </c>
      <c r="H22" s="4" t="s">
        <v>15</v>
      </c>
      <c r="I22" s="4" t="s">
        <v>15</v>
      </c>
      <c r="J22" s="4" t="s">
        <v>15</v>
      </c>
    </row>
    <row r="23" spans="1:10" x14ac:dyDescent="0.25">
      <c r="A23" s="6" t="s">
        <v>15</v>
      </c>
      <c r="B23" s="6" t="s">
        <v>15</v>
      </c>
      <c r="C23" s="7" t="s">
        <v>15</v>
      </c>
      <c r="D23" s="7" t="s">
        <v>15</v>
      </c>
      <c r="E23" s="7" t="s">
        <v>15</v>
      </c>
      <c r="F23" s="7">
        <f>C23+D23+E23</f>
      </c>
      <c r="G23" s="6" t="s">
        <v>15</v>
      </c>
      <c r="H23" s="6" t="s">
        <v>15</v>
      </c>
      <c r="I23" s="6" t="s">
        <v>15</v>
      </c>
      <c r="J23" s="6" t="s">
        <v>15</v>
      </c>
    </row>
    <row r="24" spans="1:10" x14ac:dyDescent="0.25">
      <c r="A24" s="4" t="s">
        <v>15</v>
      </c>
      <c r="B24" s="4" t="s">
        <v>15</v>
      </c>
      <c r="C24" s="5" t="s">
        <v>15</v>
      </c>
      <c r="D24" s="5" t="s">
        <v>15</v>
      </c>
      <c r="E24" s="5" t="s">
        <v>15</v>
      </c>
      <c r="F24" s="5">
        <f>C24+D24+E24</f>
      </c>
      <c r="G24" s="4" t="s">
        <v>15</v>
      </c>
      <c r="H24" s="4" t="s">
        <v>15</v>
      </c>
      <c r="I24" s="4" t="s">
        <v>15</v>
      </c>
      <c r="J24" s="4" t="s">
        <v>15</v>
      </c>
    </row>
    <row r="25" spans="1:10" x14ac:dyDescent="0.25">
      <c r="A25" s="6" t="s">
        <v>15</v>
      </c>
      <c r="B25" s="6" t="s">
        <v>15</v>
      </c>
      <c r="C25" s="7" t="s">
        <v>15</v>
      </c>
      <c r="D25" s="7" t="s">
        <v>15</v>
      </c>
      <c r="E25" s="7" t="s">
        <v>15</v>
      </c>
      <c r="F25" s="7">
        <f>C25+D25+E25</f>
      </c>
      <c r="G25" s="6" t="s">
        <v>15</v>
      </c>
      <c r="H25" s="6" t="s">
        <v>15</v>
      </c>
      <c r="I25" s="6" t="s">
        <v>15</v>
      </c>
      <c r="J25" s="6" t="s">
        <v>15</v>
      </c>
    </row>
    <row r="26" spans="1:10" x14ac:dyDescent="0.25">
      <c r="A26" s="4" t="s">
        <v>15</v>
      </c>
      <c r="B26" s="4" t="s">
        <v>15</v>
      </c>
      <c r="C26" s="5" t="s">
        <v>15</v>
      </c>
      <c r="D26" s="5" t="s">
        <v>15</v>
      </c>
      <c r="E26" s="5" t="s">
        <v>15</v>
      </c>
      <c r="F26" s="5">
        <f>C26+D26+E26</f>
      </c>
      <c r="G26" s="4" t="s">
        <v>15</v>
      </c>
      <c r="H26" s="4" t="s">
        <v>15</v>
      </c>
      <c r="I26" s="4" t="s">
        <v>15</v>
      </c>
      <c r="J26" s="4" t="s">
        <v>15</v>
      </c>
    </row>
    <row r="27" spans="1:10" x14ac:dyDescent="0.25">
      <c r="A27" s="6" t="s">
        <v>15</v>
      </c>
      <c r="B27" s="6" t="s">
        <v>15</v>
      </c>
      <c r="C27" s="7" t="s">
        <v>15</v>
      </c>
      <c r="D27" s="7" t="s">
        <v>15</v>
      </c>
      <c r="E27" s="7" t="s">
        <v>15</v>
      </c>
      <c r="F27" s="7">
        <f>C27+D27+E27</f>
      </c>
      <c r="G27" s="6" t="s">
        <v>15</v>
      </c>
      <c r="H27" s="6" t="s">
        <v>15</v>
      </c>
      <c r="I27" s="6" t="s">
        <v>15</v>
      </c>
      <c r="J27" s="6" t="s">
        <v>15</v>
      </c>
    </row>
    <row r="28" spans="1:10" x14ac:dyDescent="0.25">
      <c r="A28" s="4" t="s">
        <v>15</v>
      </c>
      <c r="B28" s="4" t="s">
        <v>15</v>
      </c>
      <c r="C28" s="5" t="s">
        <v>15</v>
      </c>
      <c r="D28" s="5" t="s">
        <v>15</v>
      </c>
      <c r="E28" s="5" t="s">
        <v>15</v>
      </c>
      <c r="F28" s="5">
        <f>C28+D28+E28</f>
      </c>
      <c r="G28" s="4" t="s">
        <v>15</v>
      </c>
      <c r="H28" s="4" t="s">
        <v>15</v>
      </c>
      <c r="I28" s="4" t="s">
        <v>15</v>
      </c>
      <c r="J28" s="4" t="s">
        <v>15</v>
      </c>
    </row>
    <row r="29" spans="1:10" x14ac:dyDescent="0.25">
      <c r="A29" s="6" t="s">
        <v>15</v>
      </c>
      <c r="B29" s="6" t="s">
        <v>15</v>
      </c>
      <c r="C29" s="7" t="s">
        <v>15</v>
      </c>
      <c r="D29" s="7" t="s">
        <v>15</v>
      </c>
      <c r="E29" s="7" t="s">
        <v>15</v>
      </c>
      <c r="F29" s="7">
        <f>C29+D29+E29</f>
      </c>
      <c r="G29" s="6" t="s">
        <v>15</v>
      </c>
      <c r="H29" s="6" t="s">
        <v>15</v>
      </c>
      <c r="I29" s="6" t="s">
        <v>15</v>
      </c>
      <c r="J29" s="6" t="s">
        <v>15</v>
      </c>
    </row>
    <row r="30" spans="1:10" x14ac:dyDescent="0.25">
      <c r="A30" s="4" t="s">
        <v>15</v>
      </c>
      <c r="B30" s="4" t="s">
        <v>15</v>
      </c>
      <c r="C30" s="5" t="s">
        <v>15</v>
      </c>
      <c r="D30" s="5" t="s">
        <v>15</v>
      </c>
      <c r="E30" s="5" t="s">
        <v>15</v>
      </c>
      <c r="F30" s="5">
        <f>C30+D30+E30</f>
      </c>
      <c r="G30" s="4" t="s">
        <v>15</v>
      </c>
      <c r="H30" s="4" t="s">
        <v>15</v>
      </c>
      <c r="I30" s="4" t="s">
        <v>15</v>
      </c>
      <c r="J30" s="4" t="s">
        <v>15</v>
      </c>
    </row>
    <row r="31" spans="1:10" x14ac:dyDescent="0.25">
      <c r="A31" s="6" t="s">
        <v>15</v>
      </c>
      <c r="B31" s="6" t="s">
        <v>15</v>
      </c>
      <c r="C31" s="7" t="s">
        <v>15</v>
      </c>
      <c r="D31" s="7" t="s">
        <v>15</v>
      </c>
      <c r="E31" s="7" t="s">
        <v>15</v>
      </c>
      <c r="F31" s="7">
        <f>C31+D31+E31</f>
      </c>
      <c r="G31" s="6" t="s">
        <v>15</v>
      </c>
      <c r="H31" s="6" t="s">
        <v>15</v>
      </c>
      <c r="I31" s="6" t="s">
        <v>15</v>
      </c>
      <c r="J31" s="6" t="s">
        <v>15</v>
      </c>
    </row>
    <row r="33" ht="28" customHeight="1" spans="1:10" x14ac:dyDescent="0.25">
      <c r="A33" s="8" t="s">
        <v>19</v>
      </c>
      <c r="B33" s="8" t="s">
        <v>15</v>
      </c>
      <c r="C33" s="9">
        <f>SUM(C2:C32)</f>
      </c>
      <c r="D33" s="9">
        <f>SUM(D2:D32)</f>
      </c>
      <c r="E33" s="9">
        <f>SUM(E2:E32)</f>
      </c>
      <c r="F33" s="9">
        <f>SUM(F2:F32)</f>
      </c>
      <c r="G33" s="8">
        <f>AVERAGE(G2:G32)</f>
      </c>
      <c r="H33" s="8">
        <f>AVERAGE(H2:H32)</f>
      </c>
      <c r="I33" s="8">
        <f>SUM(I2:I32)</f>
      </c>
      <c r="J33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14" customWidth="1"/>
    <col min="2" max="2" width="12" customWidth="1"/>
    <col min="3" max="6" width="14" style="1" customWidth="1"/>
    <col min="7" max="7" width="14" customWidth="1"/>
    <col min="8" max="8" width="16" style="1" customWidth="1"/>
    <col min="9" max="10" width="14" style="1" customWidth="1"/>
  </cols>
  <sheetData>
    <row r="1" ht="28" customHeight="1" spans="1:10" x14ac:dyDescent="0.25">
      <c r="A1" s="2" t="s">
        <v>20</v>
      </c>
      <c r="B1" s="2" t="s">
        <v>21</v>
      </c>
      <c r="C1" s="3" t="s">
        <v>2</v>
      </c>
      <c r="D1" s="3" t="s">
        <v>22</v>
      </c>
      <c r="E1" s="3" t="s">
        <v>23</v>
      </c>
      <c r="F1" s="3" t="s">
        <v>24</v>
      </c>
      <c r="G1" s="2" t="s">
        <v>25</v>
      </c>
      <c r="H1" s="3" t="s">
        <v>26</v>
      </c>
      <c r="I1" s="3" t="s">
        <v>27</v>
      </c>
      <c r="J1" s="3" t="s">
        <v>28</v>
      </c>
    </row>
    <row r="2" spans="1:10" x14ac:dyDescent="0.25">
      <c r="A2" s="4" t="s">
        <v>29</v>
      </c>
      <c r="B2" s="4">
        <v>4</v>
      </c>
      <c r="C2" s="5">
        <v>205</v>
      </c>
      <c r="D2" s="5">
        <v>100</v>
      </c>
      <c r="E2" s="5" t="s">
        <v>15</v>
      </c>
      <c r="F2" s="5">
        <f>C2+D2+E2</f>
      </c>
      <c r="G2" s="4">
        <v>48</v>
      </c>
      <c r="H2" s="5">
        <f>G2*0.70</f>
      </c>
      <c r="I2" s="5">
        <f>F2-H2</f>
      </c>
      <c r="J2" s="5">
        <f>IF(B2&gt;0,F2/B2,0)</f>
      </c>
    </row>
    <row r="3" spans="1:10" x14ac:dyDescent="0.25">
      <c r="A3" s="6" t="s">
        <v>30</v>
      </c>
      <c r="B3" s="6" t="s">
        <v>15</v>
      </c>
      <c r="C3" s="7" t="s">
        <v>15</v>
      </c>
      <c r="D3" s="7" t="s">
        <v>15</v>
      </c>
      <c r="E3" s="7" t="s">
        <v>15</v>
      </c>
      <c r="F3" s="7">
        <f>C3+D3+E3</f>
      </c>
      <c r="G3" s="6" t="s">
        <v>15</v>
      </c>
      <c r="H3" s="7">
        <f>G3*0.70</f>
      </c>
      <c r="I3" s="7">
        <f>F3-H3</f>
      </c>
      <c r="J3" s="7">
        <f>IF(B3&gt;0,F3/B3,0)</f>
      </c>
    </row>
    <row r="4" spans="1:10" x14ac:dyDescent="0.25">
      <c r="A4" s="4" t="s">
        <v>31</v>
      </c>
      <c r="B4" s="4" t="s">
        <v>15</v>
      </c>
      <c r="C4" s="5" t="s">
        <v>15</v>
      </c>
      <c r="D4" s="5" t="s">
        <v>15</v>
      </c>
      <c r="E4" s="5" t="s">
        <v>15</v>
      </c>
      <c r="F4" s="5">
        <f>C4+D4+E4</f>
      </c>
      <c r="G4" s="4" t="s">
        <v>15</v>
      </c>
      <c r="H4" s="5">
        <f>G4*0.70</f>
      </c>
      <c r="I4" s="5">
        <f>F4-H4</f>
      </c>
      <c r="J4" s="5">
        <f>IF(B4&gt;0,F4/B4,0)</f>
      </c>
    </row>
    <row r="5" spans="1:10" x14ac:dyDescent="0.25">
      <c r="A5" s="6" t="s">
        <v>32</v>
      </c>
      <c r="B5" s="6" t="s">
        <v>15</v>
      </c>
      <c r="C5" s="7" t="s">
        <v>15</v>
      </c>
      <c r="D5" s="7" t="s">
        <v>15</v>
      </c>
      <c r="E5" s="7" t="s">
        <v>15</v>
      </c>
      <c r="F5" s="7">
        <f>C5+D5+E5</f>
      </c>
      <c r="G5" s="6" t="s">
        <v>15</v>
      </c>
      <c r="H5" s="7">
        <f>G5*0.70</f>
      </c>
      <c r="I5" s="7">
        <f>F5-H5</f>
      </c>
      <c r="J5" s="7">
        <f>IF(B5&gt;0,F5/B5,0)</f>
      </c>
    </row>
    <row r="6" spans="1:10" x14ac:dyDescent="0.25">
      <c r="A6" s="4" t="s">
        <v>33</v>
      </c>
      <c r="B6" s="4" t="s">
        <v>15</v>
      </c>
      <c r="C6" s="5" t="s">
        <v>15</v>
      </c>
      <c r="D6" s="5" t="s">
        <v>15</v>
      </c>
      <c r="E6" s="5" t="s">
        <v>15</v>
      </c>
      <c r="F6" s="5">
        <f>C6+D6+E6</f>
      </c>
      <c r="G6" s="4" t="s">
        <v>15</v>
      </c>
      <c r="H6" s="5">
        <f>G6*0.70</f>
      </c>
      <c r="I6" s="5">
        <f>F6-H6</f>
      </c>
      <c r="J6" s="5">
        <f>IF(B6&gt;0,F6/B6,0)</f>
      </c>
    </row>
    <row r="7" spans="1:10" x14ac:dyDescent="0.25">
      <c r="A7" s="6" t="s">
        <v>34</v>
      </c>
      <c r="B7" s="6" t="s">
        <v>15</v>
      </c>
      <c r="C7" s="7" t="s">
        <v>15</v>
      </c>
      <c r="D7" s="7" t="s">
        <v>15</v>
      </c>
      <c r="E7" s="7" t="s">
        <v>15</v>
      </c>
      <c r="F7" s="7">
        <f>C7+D7+E7</f>
      </c>
      <c r="G7" s="6" t="s">
        <v>15</v>
      </c>
      <c r="H7" s="7">
        <f>G7*0.70</f>
      </c>
      <c r="I7" s="7">
        <f>F7-H7</f>
      </c>
      <c r="J7" s="7">
        <f>IF(B7&gt;0,F7/B7,0)</f>
      </c>
    </row>
    <row r="8" spans="1:10" x14ac:dyDescent="0.25">
      <c r="A8" s="4" t="s">
        <v>35</v>
      </c>
      <c r="B8" s="4" t="s">
        <v>15</v>
      </c>
      <c r="C8" s="5" t="s">
        <v>15</v>
      </c>
      <c r="D8" s="5" t="s">
        <v>15</v>
      </c>
      <c r="E8" s="5" t="s">
        <v>15</v>
      </c>
      <c r="F8" s="5">
        <f>C8+D8+E8</f>
      </c>
      <c r="G8" s="4" t="s">
        <v>15</v>
      </c>
      <c r="H8" s="5">
        <f>G8*0.70</f>
      </c>
      <c r="I8" s="5">
        <f>F8-H8</f>
      </c>
      <c r="J8" s="5">
        <f>IF(B8&gt;0,F8/B8,0)</f>
      </c>
    </row>
    <row r="9" spans="1:10" x14ac:dyDescent="0.25">
      <c r="A9" s="6" t="s">
        <v>36</v>
      </c>
      <c r="B9" s="6" t="s">
        <v>15</v>
      </c>
      <c r="C9" s="7" t="s">
        <v>15</v>
      </c>
      <c r="D9" s="7" t="s">
        <v>15</v>
      </c>
      <c r="E9" s="7" t="s">
        <v>15</v>
      </c>
      <c r="F9" s="7">
        <f>C9+D9+E9</f>
      </c>
      <c r="G9" s="6" t="s">
        <v>15</v>
      </c>
      <c r="H9" s="7">
        <f>G9*0.70</f>
      </c>
      <c r="I9" s="7">
        <f>F9-H9</f>
      </c>
      <c r="J9" s="7">
        <f>IF(B9&gt;0,F9/B9,0)</f>
      </c>
    </row>
    <row r="10" spans="1:10" x14ac:dyDescent="0.25">
      <c r="A10" s="4" t="s">
        <v>37</v>
      </c>
      <c r="B10" s="4" t="s">
        <v>15</v>
      </c>
      <c r="C10" s="5" t="s">
        <v>15</v>
      </c>
      <c r="D10" s="5" t="s">
        <v>15</v>
      </c>
      <c r="E10" s="5" t="s">
        <v>15</v>
      </c>
      <c r="F10" s="5">
        <f>C10+D10+E10</f>
      </c>
      <c r="G10" s="4" t="s">
        <v>15</v>
      </c>
      <c r="H10" s="5">
        <f>G10*0.70</f>
      </c>
      <c r="I10" s="5">
        <f>F10-H10</f>
      </c>
      <c r="J10" s="5">
        <f>IF(B10&gt;0,F10/B10,0)</f>
      </c>
    </row>
    <row r="11" spans="1:10" x14ac:dyDescent="0.25">
      <c r="A11" s="6" t="s">
        <v>38</v>
      </c>
      <c r="B11" s="6" t="s">
        <v>15</v>
      </c>
      <c r="C11" s="7" t="s">
        <v>15</v>
      </c>
      <c r="D11" s="7" t="s">
        <v>15</v>
      </c>
      <c r="E11" s="7" t="s">
        <v>15</v>
      </c>
      <c r="F11" s="7">
        <f>C11+D11+E11</f>
      </c>
      <c r="G11" s="6" t="s">
        <v>15</v>
      </c>
      <c r="H11" s="7">
        <f>G11*0.70</f>
      </c>
      <c r="I11" s="7">
        <f>F11-H11</f>
      </c>
      <c r="J11" s="7">
        <f>IF(B11&gt;0,F11/B11,0)</f>
      </c>
    </row>
    <row r="12" spans="1:10" x14ac:dyDescent="0.25">
      <c r="A12" s="4" t="s">
        <v>39</v>
      </c>
      <c r="B12" s="4" t="s">
        <v>15</v>
      </c>
      <c r="C12" s="5" t="s">
        <v>15</v>
      </c>
      <c r="D12" s="5" t="s">
        <v>15</v>
      </c>
      <c r="E12" s="5" t="s">
        <v>15</v>
      </c>
      <c r="F12" s="5">
        <f>C12+D12+E12</f>
      </c>
      <c r="G12" s="4" t="s">
        <v>15</v>
      </c>
      <c r="H12" s="5">
        <f>G12*0.70</f>
      </c>
      <c r="I12" s="5">
        <f>F12-H12</f>
      </c>
      <c r="J12" s="5">
        <f>IF(B12&gt;0,F12/B12,0)</f>
      </c>
    </row>
    <row r="13" spans="1:10" x14ac:dyDescent="0.25">
      <c r="A13" s="6" t="s">
        <v>40</v>
      </c>
      <c r="B13" s="6" t="s">
        <v>15</v>
      </c>
      <c r="C13" s="7" t="s">
        <v>15</v>
      </c>
      <c r="D13" s="7" t="s">
        <v>15</v>
      </c>
      <c r="E13" s="7" t="s">
        <v>15</v>
      </c>
      <c r="F13" s="7">
        <f>C13+D13+E13</f>
      </c>
      <c r="G13" s="6" t="s">
        <v>15</v>
      </c>
      <c r="H13" s="7">
        <f>G13*0.70</f>
      </c>
      <c r="I13" s="7">
        <f>F13-H13</f>
      </c>
      <c r="J13" s="7">
        <f>IF(B13&gt;0,F13/B13,0)</f>
      </c>
    </row>
    <row r="14" ht="28" customHeight="1" spans="1:10" x14ac:dyDescent="0.25">
      <c r="A14" s="8" t="s">
        <v>41</v>
      </c>
      <c r="B14" s="8">
        <f>SUM(B2:B13)</f>
      </c>
      <c r="C14" s="9">
        <f>SUM(C2:C13)</f>
      </c>
      <c r="D14" s="9">
        <f>SUM(D2:D13)</f>
      </c>
      <c r="E14" s="9">
        <f>SUM(E2:E13)</f>
      </c>
      <c r="F14" s="9">
        <f>SUM(F2:F13)</f>
      </c>
      <c r="G14" s="8">
        <f>SUM(G2:G13)</f>
      </c>
      <c r="H14" s="9">
        <f>SUM(H2:H13)</f>
      </c>
      <c r="I14" s="9">
        <f>SUM(I2:I13)</f>
      </c>
      <c r="J14" s="9">
        <f>IF(B14&gt;0,F14/B14,0)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8" customWidth="1"/>
    <col min="2" max="2" width="20" customWidth="1"/>
    <col min="3" max="3" width="30" customWidth="1"/>
    <col min="4" max="4" width="14" style="1" customWidth="1"/>
    <col min="5" max="7" width="14" customWidth="1"/>
    <col min="8" max="8" width="16" customWidth="1"/>
    <col min="9" max="9" width="12" style="10" customWidth="1"/>
  </cols>
  <sheetData>
    <row r="1" ht="28" customHeight="1" spans="1:9" x14ac:dyDescent="0.25">
      <c r="A1" s="2" t="s">
        <v>1</v>
      </c>
      <c r="B1" s="2" t="s">
        <v>42</v>
      </c>
      <c r="C1" s="2" t="s">
        <v>43</v>
      </c>
      <c r="D1" s="3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11" t="s">
        <v>49</v>
      </c>
    </row>
    <row r="2" spans="1:9" x14ac:dyDescent="0.25">
      <c r="A2" s="4" t="s">
        <v>11</v>
      </c>
      <c r="B2" s="4" t="s">
        <v>50</v>
      </c>
      <c r="C2" s="4" t="s">
        <v>51</v>
      </c>
      <c r="D2" s="5">
        <v>900</v>
      </c>
      <c r="E2" s="4" t="s">
        <v>52</v>
      </c>
      <c r="F2" s="4" t="s">
        <v>53</v>
      </c>
      <c r="G2" s="4">
        <v>4</v>
      </c>
      <c r="H2" s="4">
        <v>8</v>
      </c>
      <c r="I2" s="12">
        <f>IF(H2&gt;0,G2/H2,0)</f>
      </c>
    </row>
    <row r="3" spans="1:9" x14ac:dyDescent="0.25">
      <c r="A3" s="6" t="s">
        <v>14</v>
      </c>
      <c r="B3" s="6" t="s">
        <v>50</v>
      </c>
      <c r="C3" s="6" t="s">
        <v>54</v>
      </c>
      <c r="D3" s="7">
        <v>1000</v>
      </c>
      <c r="E3" s="6" t="s">
        <v>52</v>
      </c>
      <c r="F3" s="6" t="s">
        <v>55</v>
      </c>
      <c r="G3" s="6">
        <v>2</v>
      </c>
      <c r="H3" s="6">
        <v>10</v>
      </c>
      <c r="I3" s="13">
        <f>IF(H3&gt;0,G3/H3,0)</f>
      </c>
    </row>
    <row r="4" spans="1:9" x14ac:dyDescent="0.25">
      <c r="A4" s="4" t="s">
        <v>17</v>
      </c>
      <c r="B4" s="4" t="s">
        <v>50</v>
      </c>
      <c r="C4" s="4" t="s">
        <v>56</v>
      </c>
      <c r="D4" s="5">
        <v>700</v>
      </c>
      <c r="E4" s="4" t="s">
        <v>57</v>
      </c>
      <c r="F4" s="4" t="s">
        <v>15</v>
      </c>
      <c r="G4" s="4">
        <v>0</v>
      </c>
      <c r="H4" s="4">
        <v>6</v>
      </c>
      <c r="I4" s="12">
        <f>IF(H4&gt;0,G4/H4,0)</f>
      </c>
    </row>
    <row r="5" spans="1:9" x14ac:dyDescent="0.25">
      <c r="A5" s="6" t="s">
        <v>11</v>
      </c>
      <c r="B5" s="6" t="s">
        <v>4</v>
      </c>
      <c r="C5" s="6" t="s">
        <v>58</v>
      </c>
      <c r="D5" s="7">
        <v>100</v>
      </c>
      <c r="E5" s="6" t="s">
        <v>59</v>
      </c>
      <c r="F5" s="6" t="s">
        <v>15</v>
      </c>
      <c r="G5" s="6">
        <v>0</v>
      </c>
      <c r="H5" s="6">
        <v>2</v>
      </c>
      <c r="I5" s="13">
        <f>IF(H5&gt;0,G5/H5,0)</f>
      </c>
    </row>
    <row r="6" spans="1:9" x14ac:dyDescent="0.25">
      <c r="A6" s="4" t="s">
        <v>60</v>
      </c>
      <c r="B6" s="4" t="s">
        <v>61</v>
      </c>
      <c r="C6" s="4" t="s">
        <v>62</v>
      </c>
      <c r="D6" s="5">
        <v>50</v>
      </c>
      <c r="E6" s="4" t="s">
        <v>52</v>
      </c>
      <c r="F6" s="4" t="s">
        <v>63</v>
      </c>
      <c r="G6" s="4">
        <v>6</v>
      </c>
      <c r="H6" s="4">
        <v>8</v>
      </c>
      <c r="I6" s="12">
        <f>IF(H6&gt;0,G6/H6,0)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Tracker</vt:lpstr>
      <vt:lpstr>Monthly Summary</vt:lpstr>
      <vt:lpstr>Bonus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Plasma Pay Calculator</dc:creator>
  <dc:title/>
  <dc:subject/>
  <dc:description/>
  <cp:keywords/>
  <cp:category/>
  <cp:lastModifiedBy>Unknown</cp:lastModifiedBy>
  <dcterms:created xsi:type="dcterms:W3CDTF">2026-03-19T15:27:22Z</dcterms:created>
  <dcterms:modified xsi:type="dcterms:W3CDTF">2026-03-19T15:27:22Z</dcterms:modified>
</cp:coreProperties>
</file>