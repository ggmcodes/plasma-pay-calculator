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leage Log" state="visible" r:id="rId4"/>
    <sheet sheetId="2" name="Deduction Checklist" state="visible" r:id="rId5"/>
    <sheet sheetId="3" name="Quarterly Tax Estimator" state="visible" r:id="rId6"/>
  </sheets>
  <calcPr calcId="171027"/>
</workbook>
</file>

<file path=xl/sharedStrings.xml><?xml version="1.0" encoding="utf-8"?>
<sst xmlns="http://schemas.openxmlformats.org/spreadsheetml/2006/main" count="445" uniqueCount="69">
  <si>
    <t>Date</t>
  </si>
  <si>
    <t>Purpose</t>
  </si>
  <si>
    <t>From</t>
  </si>
  <si>
    <t>To</t>
  </si>
  <si>
    <t>Start Odometer</t>
  </si>
  <si>
    <t>End Odometer</t>
  </si>
  <si>
    <t>Miles</t>
  </si>
  <si>
    <t>IRS Rate</t>
  </si>
  <si>
    <t>Deduction</t>
  </si>
  <si>
    <t>1/2/2026</t>
  </si>
  <si>
    <t>Plasma donation</t>
  </si>
  <si>
    <t>Home</t>
  </si>
  <si>
    <t>BioLife</t>
  </si>
  <si>
    <t>1/5/2026</t>
  </si>
  <si>
    <t>CSL Plasma</t>
  </si>
  <si>
    <t>1/9/2026</t>
  </si>
  <si>
    <t>Grifols</t>
  </si>
  <si>
    <t>1/12/2026</t>
  </si>
  <si>
    <t/>
  </si>
  <si>
    <t>TOTALS</t>
  </si>
  <si>
    <t>Category</t>
  </si>
  <si>
    <t>Applies?</t>
  </si>
  <si>
    <t>Amount</t>
  </si>
  <si>
    <t>Notes</t>
  </si>
  <si>
    <t>Transportation</t>
  </si>
  <si>
    <t>Mileage to/from center (IRS standard rate)</t>
  </si>
  <si>
    <t>Parking at donation center</t>
  </si>
  <si>
    <t>Tolls to/from center</t>
  </si>
  <si>
    <t>Public transit fare to center</t>
  </si>
  <si>
    <t>Health &amp; Nutrition</t>
  </si>
  <si>
    <t>Supplements (iron, vitamin C, B12)</t>
  </si>
  <si>
    <t>Pre-donation meals &amp; hydration</t>
  </si>
  <si>
    <t>Recovery snacks &amp; drinks</t>
  </si>
  <si>
    <t>Protein supplements</t>
  </si>
  <si>
    <t>Medical</t>
  </si>
  <si>
    <t>Vein care supplies (compression, cream)</t>
  </si>
  <si>
    <t>Bandages &amp; first aid supplies</t>
  </si>
  <si>
    <t>Bruise treatment supplies</t>
  </si>
  <si>
    <t>Supplies</t>
  </si>
  <si>
    <t>Water bottles for hydration</t>
  </si>
  <si>
    <t>Warm clothing for donation</t>
  </si>
  <si>
    <t>Phone charger / entertainment</t>
  </si>
  <si>
    <t>Insulated bag for snacks</t>
  </si>
  <si>
    <t>Administrative</t>
  </si>
  <si>
    <t>Record keeping supplies</t>
  </si>
  <si>
    <t>Tax preparation software</t>
  </si>
  <si>
    <t>Accountant fees (plasma portion)</t>
  </si>
  <si>
    <t>Phone usage (scheduling, tracking)</t>
  </si>
  <si>
    <t>TOTAL DEDUCTIONS</t>
  </si>
  <si>
    <t>Q1</t>
  </si>
  <si>
    <t>Q2</t>
  </si>
  <si>
    <t>Q3</t>
  </si>
  <si>
    <t>Q4</t>
  </si>
  <si>
    <t>Annual</t>
  </si>
  <si>
    <t>Gross Plasma Income</t>
  </si>
  <si>
    <t>Mileage Deduction</t>
  </si>
  <si>
    <t>Other Deductions</t>
  </si>
  <si>
    <t>Net Taxable Income</t>
  </si>
  <si>
    <t>Federal Tax Rate (estimate)</t>
  </si>
  <si>
    <t>Federal Tax Owed</t>
  </si>
  <si>
    <t>Self-Employment Tax (15.3%)</t>
  </si>
  <si>
    <t>State Tax Rate (estimate)</t>
  </si>
  <si>
    <t>State Tax Owed</t>
  </si>
  <si>
    <t>TOTAL QUARTERLY TAX</t>
  </si>
  <si>
    <t>Payment Due Date</t>
  </si>
  <si>
    <t>4/15/2026</t>
  </si>
  <si>
    <t>6/15/2026</t>
  </si>
  <si>
    <t>9/15/2026</t>
  </si>
  <si>
    <t>1/15/2027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</si>
</sst>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5">
    <fill>
      <patternFill patternType="none"/>
    </fill>
    <fill>
      <patternFill patternType="gray125"/>
    </fill>
    <fill>
      <patternFill patternType="solid">
        <fgColor rgb="0D9488"/>
      </patternFill>
    </fill>
    <fill>
      <patternFill patternType="solid">
        <fgColor rgb="F0FDFA"/>
      </patternFill>
    </fill>
    <fill>
      <patternFill patternType="solid">
        <fgColor rgb="F97316"/>
      </patternFill>
    </fill>
  </fills>
  <borders count="3"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164" fontId="0" fillId="3" borderId="2" xfId="0" applyNumberForma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9" fontId="0" fillId="0" borderId="2" xfId="0" applyNumberFormat="1" applyBorder="1" applyAlignment="1">
      <alignment vertical="center" wrapText="1"/>
    </xf>
    <xf numFmtId="9" fontId="0" fillId="3" borderId="2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FormatPr defaultRowHeight="15" outlineLevelRow="0" outlineLevelCol="0" x14ac:dyDescent="55"/>
  <cols>
    <col min="1" max="1" width="12" customWidth="1"/>
    <col min="2" max="2" width="20" customWidth="1"/>
    <col min="3" max="4" width="18" customWidth="1"/>
    <col min="5" max="6" width="14" customWidth="1"/>
    <col min="7" max="8" width="10" customWidth="1"/>
    <col min="9" max="9" width="12" style="1" customWidth="1"/>
  </cols>
  <sheetData>
    <row r="1" ht="28" customHeight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s="4" t="s">
        <v>9</v>
      </c>
      <c r="B2" s="4" t="s">
        <v>10</v>
      </c>
      <c r="C2" s="4" t="s">
        <v>11</v>
      </c>
      <c r="D2" s="4" t="s">
        <v>12</v>
      </c>
      <c r="E2" s="4">
        <v>45230</v>
      </c>
      <c r="F2" s="4">
        <v>45242</v>
      </c>
      <c r="G2" s="4">
        <f>F2-E2</f>
      </c>
      <c r="H2" s="4">
        <v>0.7</v>
      </c>
      <c r="I2" s="5">
        <f>G2*H2</f>
      </c>
    </row>
    <row r="3" spans="1:9" x14ac:dyDescent="0.25">
      <c r="A3" s="6" t="s">
        <v>13</v>
      </c>
      <c r="B3" s="6" t="s">
        <v>10</v>
      </c>
      <c r="C3" s="6" t="s">
        <v>11</v>
      </c>
      <c r="D3" s="6" t="s">
        <v>14</v>
      </c>
      <c r="E3" s="6">
        <v>45242</v>
      </c>
      <c r="F3" s="6">
        <v>45258</v>
      </c>
      <c r="G3" s="6">
        <f>F3-E3</f>
      </c>
      <c r="H3" s="6">
        <v>0.7</v>
      </c>
      <c r="I3" s="7">
        <f>G3*H3</f>
      </c>
    </row>
    <row r="4" spans="1:9" x14ac:dyDescent="0.25">
      <c r="A4" s="4" t="s">
        <v>15</v>
      </c>
      <c r="B4" s="4" t="s">
        <v>10</v>
      </c>
      <c r="C4" s="4" t="s">
        <v>11</v>
      </c>
      <c r="D4" s="4" t="s">
        <v>16</v>
      </c>
      <c r="E4" s="4">
        <v>45258</v>
      </c>
      <c r="F4" s="4">
        <v>45270</v>
      </c>
      <c r="G4" s="4">
        <f>F4-E4</f>
      </c>
      <c r="H4" s="4">
        <v>0.7</v>
      </c>
      <c r="I4" s="5">
        <f>G4*H4</f>
      </c>
    </row>
    <row r="5" spans="1:9" x14ac:dyDescent="0.25">
      <c r="A5" s="6" t="s">
        <v>17</v>
      </c>
      <c r="B5" s="6" t="s">
        <v>10</v>
      </c>
      <c r="C5" s="6" t="s">
        <v>11</v>
      </c>
      <c r="D5" s="6" t="s">
        <v>12</v>
      </c>
      <c r="E5" s="6">
        <v>45270</v>
      </c>
      <c r="F5" s="6">
        <v>45282</v>
      </c>
      <c r="G5" s="6">
        <f>F5-E5</f>
      </c>
      <c r="H5" s="6">
        <v>0.7</v>
      </c>
      <c r="I5" s="7">
        <f>G5*H5</f>
      </c>
    </row>
    <row r="6" spans="1:9" x14ac:dyDescent="0.25">
      <c r="A6" s="4" t="s">
        <v>18</v>
      </c>
      <c r="B6" s="4" t="s">
        <v>10</v>
      </c>
      <c r="C6" s="4" t="s">
        <v>18</v>
      </c>
      <c r="D6" s="4" t="s">
        <v>18</v>
      </c>
      <c r="E6" s="4" t="s">
        <v>18</v>
      </c>
      <c r="F6" s="4" t="s">
        <v>18</v>
      </c>
      <c r="G6" s="4">
        <f>F6-E6</f>
      </c>
      <c r="H6" s="4">
        <v>0.7</v>
      </c>
      <c r="I6" s="5">
        <f>G6*H6</f>
      </c>
    </row>
    <row r="7" spans="1:9" x14ac:dyDescent="0.25">
      <c r="A7" s="6" t="s">
        <v>18</v>
      </c>
      <c r="B7" s="6" t="s">
        <v>10</v>
      </c>
      <c r="C7" s="6" t="s">
        <v>18</v>
      </c>
      <c r="D7" s="6" t="s">
        <v>18</v>
      </c>
      <c r="E7" s="6" t="s">
        <v>18</v>
      </c>
      <c r="F7" s="6" t="s">
        <v>18</v>
      </c>
      <c r="G7" s="6">
        <f>F7-E7</f>
      </c>
      <c r="H7" s="6">
        <v>0.7</v>
      </c>
      <c r="I7" s="7">
        <f>G7*H7</f>
      </c>
    </row>
    <row r="8" spans="1:9" x14ac:dyDescent="0.25">
      <c r="A8" s="4" t="s">
        <v>18</v>
      </c>
      <c r="B8" s="4" t="s">
        <v>10</v>
      </c>
      <c r="C8" s="4" t="s">
        <v>18</v>
      </c>
      <c r="D8" s="4" t="s">
        <v>18</v>
      </c>
      <c r="E8" s="4" t="s">
        <v>18</v>
      </c>
      <c r="F8" s="4" t="s">
        <v>18</v>
      </c>
      <c r="G8" s="4">
        <f>F8-E8</f>
      </c>
      <c r="H8" s="4">
        <v>0.7</v>
      </c>
      <c r="I8" s="5">
        <f>G8*H8</f>
      </c>
    </row>
    <row r="9" spans="1:9" x14ac:dyDescent="0.25">
      <c r="A9" s="6" t="s">
        <v>18</v>
      </c>
      <c r="B9" s="6" t="s">
        <v>10</v>
      </c>
      <c r="C9" s="6" t="s">
        <v>18</v>
      </c>
      <c r="D9" s="6" t="s">
        <v>18</v>
      </c>
      <c r="E9" s="6" t="s">
        <v>18</v>
      </c>
      <c r="F9" s="6" t="s">
        <v>18</v>
      </c>
      <c r="G9" s="6">
        <f>F9-E9</f>
      </c>
      <c r="H9" s="6">
        <v>0.7</v>
      </c>
      <c r="I9" s="7">
        <f>G9*H9</f>
      </c>
    </row>
    <row r="10" spans="1:9" x14ac:dyDescent="0.25">
      <c r="A10" s="4" t="s">
        <v>18</v>
      </c>
      <c r="B10" s="4" t="s">
        <v>10</v>
      </c>
      <c r="C10" s="4" t="s">
        <v>18</v>
      </c>
      <c r="D10" s="4" t="s">
        <v>18</v>
      </c>
      <c r="E10" s="4" t="s">
        <v>18</v>
      </c>
      <c r="F10" s="4" t="s">
        <v>18</v>
      </c>
      <c r="G10" s="4">
        <f>F10-E10</f>
      </c>
      <c r="H10" s="4">
        <v>0.7</v>
      </c>
      <c r="I10" s="5">
        <f>G10*H10</f>
      </c>
    </row>
    <row r="11" spans="1:9" x14ac:dyDescent="0.25">
      <c r="A11" s="6" t="s">
        <v>18</v>
      </c>
      <c r="B11" s="6" t="s">
        <v>10</v>
      </c>
      <c r="C11" s="6" t="s">
        <v>18</v>
      </c>
      <c r="D11" s="6" t="s">
        <v>18</v>
      </c>
      <c r="E11" s="6" t="s">
        <v>18</v>
      </c>
      <c r="F11" s="6" t="s">
        <v>18</v>
      </c>
      <c r="G11" s="6">
        <f>F11-E11</f>
      </c>
      <c r="H11" s="6">
        <v>0.7</v>
      </c>
      <c r="I11" s="7">
        <f>G11*H11</f>
      </c>
    </row>
    <row r="12" spans="1:9" x14ac:dyDescent="0.25">
      <c r="A12" s="4" t="s">
        <v>18</v>
      </c>
      <c r="B12" s="4" t="s">
        <v>10</v>
      </c>
      <c r="C12" s="4" t="s">
        <v>18</v>
      </c>
      <c r="D12" s="4" t="s">
        <v>18</v>
      </c>
      <c r="E12" s="4" t="s">
        <v>18</v>
      </c>
      <c r="F12" s="4" t="s">
        <v>18</v>
      </c>
      <c r="G12" s="4">
        <f>F12-E12</f>
      </c>
      <c r="H12" s="4">
        <v>0.7</v>
      </c>
      <c r="I12" s="5">
        <f>G12*H12</f>
      </c>
    </row>
    <row r="13" spans="1:9" x14ac:dyDescent="0.25">
      <c r="A13" s="6" t="s">
        <v>18</v>
      </c>
      <c r="B13" s="6" t="s">
        <v>10</v>
      </c>
      <c r="C13" s="6" t="s">
        <v>18</v>
      </c>
      <c r="D13" s="6" t="s">
        <v>18</v>
      </c>
      <c r="E13" s="6" t="s">
        <v>18</v>
      </c>
      <c r="F13" s="6" t="s">
        <v>18</v>
      </c>
      <c r="G13" s="6">
        <f>F13-E13</f>
      </c>
      <c r="H13" s="6">
        <v>0.7</v>
      </c>
      <c r="I13" s="7">
        <f>G13*H13</f>
      </c>
    </row>
    <row r="14" spans="1:9" x14ac:dyDescent="0.25">
      <c r="A14" s="4" t="s">
        <v>18</v>
      </c>
      <c r="B14" s="4" t="s">
        <v>10</v>
      </c>
      <c r="C14" s="4" t="s">
        <v>18</v>
      </c>
      <c r="D14" s="4" t="s">
        <v>18</v>
      </c>
      <c r="E14" s="4" t="s">
        <v>18</v>
      </c>
      <c r="F14" s="4" t="s">
        <v>18</v>
      </c>
      <c r="G14" s="4">
        <f>F14-E14</f>
      </c>
      <c r="H14" s="4">
        <v>0.7</v>
      </c>
      <c r="I14" s="5">
        <f>G14*H14</f>
      </c>
    </row>
    <row r="15" spans="1:9" x14ac:dyDescent="0.25">
      <c r="A15" s="6" t="s">
        <v>18</v>
      </c>
      <c r="B15" s="6" t="s">
        <v>10</v>
      </c>
      <c r="C15" s="6" t="s">
        <v>18</v>
      </c>
      <c r="D15" s="6" t="s">
        <v>18</v>
      </c>
      <c r="E15" s="6" t="s">
        <v>18</v>
      </c>
      <c r="F15" s="6" t="s">
        <v>18</v>
      </c>
      <c r="G15" s="6">
        <f>F15-E15</f>
      </c>
      <c r="H15" s="6">
        <v>0.7</v>
      </c>
      <c r="I15" s="7">
        <f>G15*H15</f>
      </c>
    </row>
    <row r="16" spans="1:9" x14ac:dyDescent="0.25">
      <c r="A16" s="4" t="s">
        <v>18</v>
      </c>
      <c r="B16" s="4" t="s">
        <v>10</v>
      </c>
      <c r="C16" s="4" t="s">
        <v>18</v>
      </c>
      <c r="D16" s="4" t="s">
        <v>18</v>
      </c>
      <c r="E16" s="4" t="s">
        <v>18</v>
      </c>
      <c r="F16" s="4" t="s">
        <v>18</v>
      </c>
      <c r="G16" s="4">
        <f>F16-E16</f>
      </c>
      <c r="H16" s="4">
        <v>0.7</v>
      </c>
      <c r="I16" s="5">
        <f>G16*H16</f>
      </c>
    </row>
    <row r="17" spans="1:9" x14ac:dyDescent="0.25">
      <c r="A17" s="6" t="s">
        <v>18</v>
      </c>
      <c r="B17" s="6" t="s">
        <v>10</v>
      </c>
      <c r="C17" s="6" t="s">
        <v>18</v>
      </c>
      <c r="D17" s="6" t="s">
        <v>18</v>
      </c>
      <c r="E17" s="6" t="s">
        <v>18</v>
      </c>
      <c r="F17" s="6" t="s">
        <v>18</v>
      </c>
      <c r="G17" s="6">
        <f>F17-E17</f>
      </c>
      <c r="H17" s="6">
        <v>0.7</v>
      </c>
      <c r="I17" s="7">
        <f>G17*H17</f>
      </c>
    </row>
    <row r="18" spans="1:9" x14ac:dyDescent="0.25">
      <c r="A18" s="4" t="s">
        <v>18</v>
      </c>
      <c r="B18" s="4" t="s">
        <v>10</v>
      </c>
      <c r="C18" s="4" t="s">
        <v>18</v>
      </c>
      <c r="D18" s="4" t="s">
        <v>18</v>
      </c>
      <c r="E18" s="4" t="s">
        <v>18</v>
      </c>
      <c r="F18" s="4" t="s">
        <v>18</v>
      </c>
      <c r="G18" s="4">
        <f>F18-E18</f>
      </c>
      <c r="H18" s="4">
        <v>0.7</v>
      </c>
      <c r="I18" s="5">
        <f>G18*H18</f>
      </c>
    </row>
    <row r="19" spans="1:9" x14ac:dyDescent="0.25">
      <c r="A19" s="6" t="s">
        <v>18</v>
      </c>
      <c r="B19" s="6" t="s">
        <v>10</v>
      </c>
      <c r="C19" s="6" t="s">
        <v>18</v>
      </c>
      <c r="D19" s="6" t="s">
        <v>18</v>
      </c>
      <c r="E19" s="6" t="s">
        <v>18</v>
      </c>
      <c r="F19" s="6" t="s">
        <v>18</v>
      </c>
      <c r="G19" s="6">
        <f>F19-E19</f>
      </c>
      <c r="H19" s="6">
        <v>0.7</v>
      </c>
      <c r="I19" s="7">
        <f>G19*H19</f>
      </c>
    </row>
    <row r="20" spans="1:9" x14ac:dyDescent="0.25">
      <c r="A20" s="4" t="s">
        <v>18</v>
      </c>
      <c r="B20" s="4" t="s">
        <v>10</v>
      </c>
      <c r="C20" s="4" t="s">
        <v>18</v>
      </c>
      <c r="D20" s="4" t="s">
        <v>18</v>
      </c>
      <c r="E20" s="4" t="s">
        <v>18</v>
      </c>
      <c r="F20" s="4" t="s">
        <v>18</v>
      </c>
      <c r="G20" s="4">
        <f>F20-E20</f>
      </c>
      <c r="H20" s="4">
        <v>0.7</v>
      </c>
      <c r="I20" s="5">
        <f>G20*H20</f>
      </c>
    </row>
    <row r="21" spans="1:9" x14ac:dyDescent="0.25">
      <c r="A21" s="6" t="s">
        <v>18</v>
      </c>
      <c r="B21" s="6" t="s">
        <v>10</v>
      </c>
      <c r="C21" s="6" t="s">
        <v>18</v>
      </c>
      <c r="D21" s="6" t="s">
        <v>18</v>
      </c>
      <c r="E21" s="6" t="s">
        <v>18</v>
      </c>
      <c r="F21" s="6" t="s">
        <v>18</v>
      </c>
      <c r="G21" s="6">
        <f>F21-E21</f>
      </c>
      <c r="H21" s="6">
        <v>0.7</v>
      </c>
      <c r="I21" s="7">
        <f>G21*H21</f>
      </c>
    </row>
    <row r="22" spans="1:9" x14ac:dyDescent="0.25">
      <c r="A22" s="4" t="s">
        <v>18</v>
      </c>
      <c r="B22" s="4" t="s">
        <v>10</v>
      </c>
      <c r="C22" s="4" t="s">
        <v>18</v>
      </c>
      <c r="D22" s="4" t="s">
        <v>18</v>
      </c>
      <c r="E22" s="4" t="s">
        <v>18</v>
      </c>
      <c r="F22" s="4" t="s">
        <v>18</v>
      </c>
      <c r="G22" s="4">
        <f>F22-E22</f>
      </c>
      <c r="H22" s="4">
        <v>0.7</v>
      </c>
      <c r="I22" s="5">
        <f>G22*H22</f>
      </c>
    </row>
    <row r="23" spans="1:9" x14ac:dyDescent="0.25">
      <c r="A23" s="6" t="s">
        <v>18</v>
      </c>
      <c r="B23" s="6" t="s">
        <v>10</v>
      </c>
      <c r="C23" s="6" t="s">
        <v>18</v>
      </c>
      <c r="D23" s="6" t="s">
        <v>18</v>
      </c>
      <c r="E23" s="6" t="s">
        <v>18</v>
      </c>
      <c r="F23" s="6" t="s">
        <v>18</v>
      </c>
      <c r="G23" s="6">
        <f>F23-E23</f>
      </c>
      <c r="H23" s="6">
        <v>0.7</v>
      </c>
      <c r="I23" s="7">
        <f>G23*H23</f>
      </c>
    </row>
    <row r="24" spans="1:9" x14ac:dyDescent="0.25">
      <c r="A24" s="4" t="s">
        <v>18</v>
      </c>
      <c r="B24" s="4" t="s">
        <v>10</v>
      </c>
      <c r="C24" s="4" t="s">
        <v>18</v>
      </c>
      <c r="D24" s="4" t="s">
        <v>18</v>
      </c>
      <c r="E24" s="4" t="s">
        <v>18</v>
      </c>
      <c r="F24" s="4" t="s">
        <v>18</v>
      </c>
      <c r="G24" s="4">
        <f>F24-E24</f>
      </c>
      <c r="H24" s="4">
        <v>0.7</v>
      </c>
      <c r="I24" s="5">
        <f>G24*H24</f>
      </c>
    </row>
    <row r="25" spans="1:9" x14ac:dyDescent="0.25">
      <c r="A25" s="6" t="s">
        <v>18</v>
      </c>
      <c r="B25" s="6" t="s">
        <v>10</v>
      </c>
      <c r="C25" s="6" t="s">
        <v>18</v>
      </c>
      <c r="D25" s="6" t="s">
        <v>18</v>
      </c>
      <c r="E25" s="6" t="s">
        <v>18</v>
      </c>
      <c r="F25" s="6" t="s">
        <v>18</v>
      </c>
      <c r="G25" s="6">
        <f>F25-E25</f>
      </c>
      <c r="H25" s="6">
        <v>0.7</v>
      </c>
      <c r="I25" s="7">
        <f>G25*H25</f>
      </c>
    </row>
    <row r="26" spans="1:9" x14ac:dyDescent="0.25">
      <c r="A26" s="4" t="s">
        <v>18</v>
      </c>
      <c r="B26" s="4" t="s">
        <v>10</v>
      </c>
      <c r="C26" s="4" t="s">
        <v>18</v>
      </c>
      <c r="D26" s="4" t="s">
        <v>18</v>
      </c>
      <c r="E26" s="4" t="s">
        <v>18</v>
      </c>
      <c r="F26" s="4" t="s">
        <v>18</v>
      </c>
      <c r="G26" s="4">
        <f>F26-E26</f>
      </c>
      <c r="H26" s="4">
        <v>0.7</v>
      </c>
      <c r="I26" s="5">
        <f>G26*H26</f>
      </c>
    </row>
    <row r="27" spans="1:9" x14ac:dyDescent="0.25">
      <c r="A27" s="6" t="s">
        <v>18</v>
      </c>
      <c r="B27" s="6" t="s">
        <v>10</v>
      </c>
      <c r="C27" s="6" t="s">
        <v>18</v>
      </c>
      <c r="D27" s="6" t="s">
        <v>18</v>
      </c>
      <c r="E27" s="6" t="s">
        <v>18</v>
      </c>
      <c r="F27" s="6" t="s">
        <v>18</v>
      </c>
      <c r="G27" s="6">
        <f>F27-E27</f>
      </c>
      <c r="H27" s="6">
        <v>0.7</v>
      </c>
      <c r="I27" s="7">
        <f>G27*H27</f>
      </c>
    </row>
    <row r="28" spans="1:9" x14ac:dyDescent="0.25">
      <c r="A28" s="4" t="s">
        <v>18</v>
      </c>
      <c r="B28" s="4" t="s">
        <v>10</v>
      </c>
      <c r="C28" s="4" t="s">
        <v>18</v>
      </c>
      <c r="D28" s="4" t="s">
        <v>18</v>
      </c>
      <c r="E28" s="4" t="s">
        <v>18</v>
      </c>
      <c r="F28" s="4" t="s">
        <v>18</v>
      </c>
      <c r="G28" s="4">
        <f>F28-E28</f>
      </c>
      <c r="H28" s="4">
        <v>0.7</v>
      </c>
      <c r="I28" s="5">
        <f>G28*H28</f>
      </c>
    </row>
    <row r="29" spans="1:9" x14ac:dyDescent="0.25">
      <c r="A29" s="6" t="s">
        <v>18</v>
      </c>
      <c r="B29" s="6" t="s">
        <v>10</v>
      </c>
      <c r="C29" s="6" t="s">
        <v>18</v>
      </c>
      <c r="D29" s="6" t="s">
        <v>18</v>
      </c>
      <c r="E29" s="6" t="s">
        <v>18</v>
      </c>
      <c r="F29" s="6" t="s">
        <v>18</v>
      </c>
      <c r="G29" s="6">
        <f>F29-E29</f>
      </c>
      <c r="H29" s="6">
        <v>0.7</v>
      </c>
      <c r="I29" s="7">
        <f>G29*H29</f>
      </c>
    </row>
    <row r="30" spans="1:9" x14ac:dyDescent="0.25">
      <c r="A30" s="4" t="s">
        <v>18</v>
      </c>
      <c r="B30" s="4" t="s">
        <v>10</v>
      </c>
      <c r="C30" s="4" t="s">
        <v>18</v>
      </c>
      <c r="D30" s="4" t="s">
        <v>18</v>
      </c>
      <c r="E30" s="4" t="s">
        <v>18</v>
      </c>
      <c r="F30" s="4" t="s">
        <v>18</v>
      </c>
      <c r="G30" s="4">
        <f>F30-E30</f>
      </c>
      <c r="H30" s="4">
        <v>0.7</v>
      </c>
      <c r="I30" s="5">
        <f>G30*H30</f>
      </c>
    </row>
    <row r="31" spans="1:9" x14ac:dyDescent="0.25">
      <c r="A31" s="6" t="s">
        <v>18</v>
      </c>
      <c r="B31" s="6" t="s">
        <v>10</v>
      </c>
      <c r="C31" s="6" t="s">
        <v>18</v>
      </c>
      <c r="D31" s="6" t="s">
        <v>18</v>
      </c>
      <c r="E31" s="6" t="s">
        <v>18</v>
      </c>
      <c r="F31" s="6" t="s">
        <v>18</v>
      </c>
      <c r="G31" s="6">
        <f>F31-E31</f>
      </c>
      <c r="H31" s="6">
        <v>0.7</v>
      </c>
      <c r="I31" s="7">
        <f>G31*H31</f>
      </c>
    </row>
    <row r="32" spans="1:9" x14ac:dyDescent="0.25">
      <c r="A32" s="4" t="s">
        <v>18</v>
      </c>
      <c r="B32" s="4" t="s">
        <v>10</v>
      </c>
      <c r="C32" s="4" t="s">
        <v>18</v>
      </c>
      <c r="D32" s="4" t="s">
        <v>18</v>
      </c>
      <c r="E32" s="4" t="s">
        <v>18</v>
      </c>
      <c r="F32" s="4" t="s">
        <v>18</v>
      </c>
      <c r="G32" s="4">
        <f>F32-E32</f>
      </c>
      <c r="H32" s="4">
        <v>0.7</v>
      </c>
      <c r="I32" s="5">
        <f>G32*H32</f>
      </c>
    </row>
    <row r="33" spans="1:9" x14ac:dyDescent="0.25">
      <c r="A33" s="6" t="s">
        <v>18</v>
      </c>
      <c r="B33" s="6" t="s">
        <v>10</v>
      </c>
      <c r="C33" s="6" t="s">
        <v>18</v>
      </c>
      <c r="D33" s="6" t="s">
        <v>18</v>
      </c>
      <c r="E33" s="6" t="s">
        <v>18</v>
      </c>
      <c r="F33" s="6" t="s">
        <v>18</v>
      </c>
      <c r="G33" s="6">
        <f>F33-E33</f>
      </c>
      <c r="H33" s="6">
        <v>0.7</v>
      </c>
      <c r="I33" s="7">
        <f>G33*H33</f>
      </c>
    </row>
    <row r="34" spans="1:9" x14ac:dyDescent="0.25">
      <c r="A34" s="4" t="s">
        <v>18</v>
      </c>
      <c r="B34" s="4" t="s">
        <v>10</v>
      </c>
      <c r="C34" s="4" t="s">
        <v>18</v>
      </c>
      <c r="D34" s="4" t="s">
        <v>18</v>
      </c>
      <c r="E34" s="4" t="s">
        <v>18</v>
      </c>
      <c r="F34" s="4" t="s">
        <v>18</v>
      </c>
      <c r="G34" s="4">
        <f>F34-E34</f>
      </c>
      <c r="H34" s="4">
        <v>0.7</v>
      </c>
      <c r="I34" s="5">
        <f>G34*H34</f>
      </c>
    </row>
    <row r="35" spans="1:9" x14ac:dyDescent="0.25">
      <c r="A35" s="6" t="s">
        <v>18</v>
      </c>
      <c r="B35" s="6" t="s">
        <v>10</v>
      </c>
      <c r="C35" s="6" t="s">
        <v>18</v>
      </c>
      <c r="D35" s="6" t="s">
        <v>18</v>
      </c>
      <c r="E35" s="6" t="s">
        <v>18</v>
      </c>
      <c r="F35" s="6" t="s">
        <v>18</v>
      </c>
      <c r="G35" s="6">
        <f>F35-E35</f>
      </c>
      <c r="H35" s="6">
        <v>0.7</v>
      </c>
      <c r="I35" s="7">
        <f>G35*H35</f>
      </c>
    </row>
    <row r="36" spans="1:9" x14ac:dyDescent="0.25">
      <c r="A36" s="4" t="s">
        <v>18</v>
      </c>
      <c r="B36" s="4" t="s">
        <v>10</v>
      </c>
      <c r="C36" s="4" t="s">
        <v>18</v>
      </c>
      <c r="D36" s="4" t="s">
        <v>18</v>
      </c>
      <c r="E36" s="4" t="s">
        <v>18</v>
      </c>
      <c r="F36" s="4" t="s">
        <v>18</v>
      </c>
      <c r="G36" s="4">
        <f>F36-E36</f>
      </c>
      <c r="H36" s="4">
        <v>0.7</v>
      </c>
      <c r="I36" s="5">
        <f>G36*H36</f>
      </c>
    </row>
    <row r="37" spans="1:9" x14ac:dyDescent="0.25">
      <c r="A37" s="6" t="s">
        <v>18</v>
      </c>
      <c r="B37" s="6" t="s">
        <v>10</v>
      </c>
      <c r="C37" s="6" t="s">
        <v>18</v>
      </c>
      <c r="D37" s="6" t="s">
        <v>18</v>
      </c>
      <c r="E37" s="6" t="s">
        <v>18</v>
      </c>
      <c r="F37" s="6" t="s">
        <v>18</v>
      </c>
      <c r="G37" s="6">
        <f>F37-E37</f>
      </c>
      <c r="H37" s="6">
        <v>0.7</v>
      </c>
      <c r="I37" s="7">
        <f>G37*H37</f>
      </c>
    </row>
    <row r="38" spans="1:9" x14ac:dyDescent="0.25">
      <c r="A38" s="4" t="s">
        <v>18</v>
      </c>
      <c r="B38" s="4" t="s">
        <v>10</v>
      </c>
      <c r="C38" s="4" t="s">
        <v>18</v>
      </c>
      <c r="D38" s="4" t="s">
        <v>18</v>
      </c>
      <c r="E38" s="4" t="s">
        <v>18</v>
      </c>
      <c r="F38" s="4" t="s">
        <v>18</v>
      </c>
      <c r="G38" s="4">
        <f>F38-E38</f>
      </c>
      <c r="H38" s="4">
        <v>0.7</v>
      </c>
      <c r="I38" s="5">
        <f>G38*H38</f>
      </c>
    </row>
    <row r="39" spans="1:9" x14ac:dyDescent="0.25">
      <c r="A39" s="6" t="s">
        <v>18</v>
      </c>
      <c r="B39" s="6" t="s">
        <v>10</v>
      </c>
      <c r="C39" s="6" t="s">
        <v>18</v>
      </c>
      <c r="D39" s="6" t="s">
        <v>18</v>
      </c>
      <c r="E39" s="6" t="s">
        <v>18</v>
      </c>
      <c r="F39" s="6" t="s">
        <v>18</v>
      </c>
      <c r="G39" s="6">
        <f>F39-E39</f>
      </c>
      <c r="H39" s="6">
        <v>0.7</v>
      </c>
      <c r="I39" s="7">
        <f>G39*H39</f>
      </c>
    </row>
    <row r="40" spans="1:9" x14ac:dyDescent="0.25">
      <c r="A40" s="4" t="s">
        <v>18</v>
      </c>
      <c r="B40" s="4" t="s">
        <v>10</v>
      </c>
      <c r="C40" s="4" t="s">
        <v>18</v>
      </c>
      <c r="D40" s="4" t="s">
        <v>18</v>
      </c>
      <c r="E40" s="4" t="s">
        <v>18</v>
      </c>
      <c r="F40" s="4" t="s">
        <v>18</v>
      </c>
      <c r="G40" s="4">
        <f>F40-E40</f>
      </c>
      <c r="H40" s="4">
        <v>0.7</v>
      </c>
      <c r="I40" s="5">
        <f>G40*H40</f>
      </c>
    </row>
    <row r="41" spans="1:9" x14ac:dyDescent="0.25">
      <c r="A41" s="6" t="s">
        <v>18</v>
      </c>
      <c r="B41" s="6" t="s">
        <v>10</v>
      </c>
      <c r="C41" s="6" t="s">
        <v>18</v>
      </c>
      <c r="D41" s="6" t="s">
        <v>18</v>
      </c>
      <c r="E41" s="6" t="s">
        <v>18</v>
      </c>
      <c r="F41" s="6" t="s">
        <v>18</v>
      </c>
      <c r="G41" s="6">
        <f>F41-E41</f>
      </c>
      <c r="H41" s="6">
        <v>0.7</v>
      </c>
      <c r="I41" s="7">
        <f>G41*H41</f>
      </c>
    </row>
    <row r="42" spans="1:9" x14ac:dyDescent="0.25">
      <c r="A42" s="4" t="s">
        <v>18</v>
      </c>
      <c r="B42" s="4" t="s">
        <v>10</v>
      </c>
      <c r="C42" s="4" t="s">
        <v>18</v>
      </c>
      <c r="D42" s="4" t="s">
        <v>18</v>
      </c>
      <c r="E42" s="4" t="s">
        <v>18</v>
      </c>
      <c r="F42" s="4" t="s">
        <v>18</v>
      </c>
      <c r="G42" s="4">
        <f>F42-E42</f>
      </c>
      <c r="H42" s="4">
        <v>0.7</v>
      </c>
      <c r="I42" s="5">
        <f>G42*H42</f>
      </c>
    </row>
    <row r="43" spans="1:9" x14ac:dyDescent="0.25">
      <c r="A43" s="6" t="s">
        <v>18</v>
      </c>
      <c r="B43" s="6" t="s">
        <v>10</v>
      </c>
      <c r="C43" s="6" t="s">
        <v>18</v>
      </c>
      <c r="D43" s="6" t="s">
        <v>18</v>
      </c>
      <c r="E43" s="6" t="s">
        <v>18</v>
      </c>
      <c r="F43" s="6" t="s">
        <v>18</v>
      </c>
      <c r="G43" s="6">
        <f>F43-E43</f>
      </c>
      <c r="H43" s="6">
        <v>0.7</v>
      </c>
      <c r="I43" s="7">
        <f>G43*H43</f>
      </c>
    </row>
    <row r="44" spans="1:9" x14ac:dyDescent="0.25">
      <c r="A44" s="4" t="s">
        <v>18</v>
      </c>
      <c r="B44" s="4" t="s">
        <v>10</v>
      </c>
      <c r="C44" s="4" t="s">
        <v>18</v>
      </c>
      <c r="D44" s="4" t="s">
        <v>18</v>
      </c>
      <c r="E44" s="4" t="s">
        <v>18</v>
      </c>
      <c r="F44" s="4" t="s">
        <v>18</v>
      </c>
      <c r="G44" s="4">
        <f>F44-E44</f>
      </c>
      <c r="H44" s="4">
        <v>0.7</v>
      </c>
      <c r="I44" s="5">
        <f>G44*H44</f>
      </c>
    </row>
    <row r="45" spans="1:9" x14ac:dyDescent="0.25">
      <c r="A45" s="6" t="s">
        <v>18</v>
      </c>
      <c r="B45" s="6" t="s">
        <v>10</v>
      </c>
      <c r="C45" s="6" t="s">
        <v>18</v>
      </c>
      <c r="D45" s="6" t="s">
        <v>18</v>
      </c>
      <c r="E45" s="6" t="s">
        <v>18</v>
      </c>
      <c r="F45" s="6" t="s">
        <v>18</v>
      </c>
      <c r="G45" s="6">
        <f>F45-E45</f>
      </c>
      <c r="H45" s="6">
        <v>0.7</v>
      </c>
      <c r="I45" s="7">
        <f>G45*H45</f>
      </c>
    </row>
    <row r="46" spans="1:9" x14ac:dyDescent="0.25">
      <c r="A46" s="4" t="s">
        <v>18</v>
      </c>
      <c r="B46" s="4" t="s">
        <v>10</v>
      </c>
      <c r="C46" s="4" t="s">
        <v>18</v>
      </c>
      <c r="D46" s="4" t="s">
        <v>18</v>
      </c>
      <c r="E46" s="4" t="s">
        <v>18</v>
      </c>
      <c r="F46" s="4" t="s">
        <v>18</v>
      </c>
      <c r="G46" s="4">
        <f>F46-E46</f>
      </c>
      <c r="H46" s="4">
        <v>0.7</v>
      </c>
      <c r="I46" s="5">
        <f>G46*H46</f>
      </c>
    </row>
    <row r="47" spans="1:9" x14ac:dyDescent="0.25">
      <c r="A47" s="6" t="s">
        <v>18</v>
      </c>
      <c r="B47" s="6" t="s">
        <v>10</v>
      </c>
      <c r="C47" s="6" t="s">
        <v>18</v>
      </c>
      <c r="D47" s="6" t="s">
        <v>18</v>
      </c>
      <c r="E47" s="6" t="s">
        <v>18</v>
      </c>
      <c r="F47" s="6" t="s">
        <v>18</v>
      </c>
      <c r="G47" s="6">
        <f>F47-E47</f>
      </c>
      <c r="H47" s="6">
        <v>0.7</v>
      </c>
      <c r="I47" s="7">
        <f>G47*H47</f>
      </c>
    </row>
    <row r="48" spans="1:9" x14ac:dyDescent="0.25">
      <c r="A48" s="4" t="s">
        <v>18</v>
      </c>
      <c r="B48" s="4" t="s">
        <v>10</v>
      </c>
      <c r="C48" s="4" t="s">
        <v>18</v>
      </c>
      <c r="D48" s="4" t="s">
        <v>18</v>
      </c>
      <c r="E48" s="4" t="s">
        <v>18</v>
      </c>
      <c r="F48" s="4" t="s">
        <v>18</v>
      </c>
      <c r="G48" s="4">
        <f>F48-E48</f>
      </c>
      <c r="H48" s="4">
        <v>0.7</v>
      </c>
      <c r="I48" s="5">
        <f>G48*H48</f>
      </c>
    </row>
    <row r="49" spans="1:9" x14ac:dyDescent="0.25">
      <c r="A49" s="6" t="s">
        <v>18</v>
      </c>
      <c r="B49" s="6" t="s">
        <v>10</v>
      </c>
      <c r="C49" s="6" t="s">
        <v>18</v>
      </c>
      <c r="D49" s="6" t="s">
        <v>18</v>
      </c>
      <c r="E49" s="6" t="s">
        <v>18</v>
      </c>
      <c r="F49" s="6" t="s">
        <v>18</v>
      </c>
      <c r="G49" s="6">
        <f>F49-E49</f>
      </c>
      <c r="H49" s="6">
        <v>0.7</v>
      </c>
      <c r="I49" s="7">
        <f>G49*H49</f>
      </c>
    </row>
    <row r="50" spans="1:9" x14ac:dyDescent="0.25">
      <c r="A50" s="4" t="s">
        <v>18</v>
      </c>
      <c r="B50" s="4" t="s">
        <v>10</v>
      </c>
      <c r="C50" s="4" t="s">
        <v>18</v>
      </c>
      <c r="D50" s="4" t="s">
        <v>18</v>
      </c>
      <c r="E50" s="4" t="s">
        <v>18</v>
      </c>
      <c r="F50" s="4" t="s">
        <v>18</v>
      </c>
      <c r="G50" s="4">
        <f>F50-E50</f>
      </c>
      <c r="H50" s="4">
        <v>0.7</v>
      </c>
      <c r="I50" s="5">
        <f>G50*H50</f>
      </c>
    </row>
    <row r="51" spans="1:9" x14ac:dyDescent="0.25">
      <c r="A51" s="6" t="s">
        <v>18</v>
      </c>
      <c r="B51" s="6" t="s">
        <v>10</v>
      </c>
      <c r="C51" s="6" t="s">
        <v>18</v>
      </c>
      <c r="D51" s="6" t="s">
        <v>18</v>
      </c>
      <c r="E51" s="6" t="s">
        <v>18</v>
      </c>
      <c r="F51" s="6" t="s">
        <v>18</v>
      </c>
      <c r="G51" s="6">
        <f>F51-E51</f>
      </c>
      <c r="H51" s="6">
        <v>0.7</v>
      </c>
      <c r="I51" s="7">
        <f>G51*H51</f>
      </c>
    </row>
    <row r="53" ht="28" customHeight="1" spans="1:9" x14ac:dyDescent="0.25">
      <c r="A53" s="8" t="s">
        <v>19</v>
      </c>
      <c r="B53" s="8" t="s">
        <v>18</v>
      </c>
      <c r="C53" s="8" t="s">
        <v>18</v>
      </c>
      <c r="D53" s="8" t="s">
        <v>18</v>
      </c>
      <c r="E53" s="8" t="s">
        <v>18</v>
      </c>
      <c r="F53" s="8" t="s">
        <v>18</v>
      </c>
      <c r="G53" s="8">
        <f>SUM(G2:G52)</f>
      </c>
      <c r="H53" s="8" t="s">
        <v>18</v>
      </c>
      <c r="I53" s="9">
        <f>SUM(I2:I52)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2" customWidth="1"/>
    <col min="2" max="2" width="35" customWidth="1"/>
    <col min="3" max="3" width="10" customWidth="1"/>
    <col min="4" max="4" width="14" style="1" customWidth="1"/>
    <col min="5" max="5" width="30" customWidth="1"/>
  </cols>
  <sheetData>
    <row r="1" ht="28" customHeight="1" spans="1:5" x14ac:dyDescent="0.25">
      <c r="A1" s="2" t="s">
        <v>20</v>
      </c>
      <c r="B1" s="2" t="s">
        <v>8</v>
      </c>
      <c r="C1" s="2" t="s">
        <v>21</v>
      </c>
      <c r="D1" s="3" t="s">
        <v>22</v>
      </c>
      <c r="E1" s="2" t="s">
        <v>23</v>
      </c>
    </row>
    <row r="2" spans="1:5" x14ac:dyDescent="0.25">
      <c r="A2" s="4" t="s">
        <v>24</v>
      </c>
      <c r="B2" s="4" t="s">
        <v>25</v>
      </c>
      <c r="C2" s="4" t="s">
        <v>18</v>
      </c>
      <c r="D2" s="5" t="s">
        <v>18</v>
      </c>
      <c r="E2" s="4" t="s">
        <v>18</v>
      </c>
    </row>
    <row r="3" spans="1:5" x14ac:dyDescent="0.25">
      <c r="A3" s="6" t="s">
        <v>24</v>
      </c>
      <c r="B3" s="6" t="s">
        <v>26</v>
      </c>
      <c r="C3" s="6" t="s">
        <v>18</v>
      </c>
      <c r="D3" s="7" t="s">
        <v>18</v>
      </c>
      <c r="E3" s="6" t="s">
        <v>18</v>
      </c>
    </row>
    <row r="4" spans="1:5" x14ac:dyDescent="0.25">
      <c r="A4" s="4" t="s">
        <v>24</v>
      </c>
      <c r="B4" s="4" t="s">
        <v>27</v>
      </c>
      <c r="C4" s="4" t="s">
        <v>18</v>
      </c>
      <c r="D4" s="5" t="s">
        <v>18</v>
      </c>
      <c r="E4" s="4" t="s">
        <v>18</v>
      </c>
    </row>
    <row r="5" spans="1:5" x14ac:dyDescent="0.25">
      <c r="A5" s="6" t="s">
        <v>24</v>
      </c>
      <c r="B5" s="6" t="s">
        <v>28</v>
      </c>
      <c r="C5" s="6" t="s">
        <v>18</v>
      </c>
      <c r="D5" s="7" t="s">
        <v>18</v>
      </c>
      <c r="E5" s="6" t="s">
        <v>18</v>
      </c>
    </row>
    <row r="6" spans="1:5" x14ac:dyDescent="0.25">
      <c r="A6" s="4" t="s">
        <v>29</v>
      </c>
      <c r="B6" s="4" t="s">
        <v>30</v>
      </c>
      <c r="C6" s="4" t="s">
        <v>18</v>
      </c>
      <c r="D6" s="5" t="s">
        <v>18</v>
      </c>
      <c r="E6" s="4" t="s">
        <v>18</v>
      </c>
    </row>
    <row r="7" spans="1:5" x14ac:dyDescent="0.25">
      <c r="A7" s="6" t="s">
        <v>29</v>
      </c>
      <c r="B7" s="6" t="s">
        <v>31</v>
      </c>
      <c r="C7" s="6" t="s">
        <v>18</v>
      </c>
      <c r="D7" s="7" t="s">
        <v>18</v>
      </c>
      <c r="E7" s="6" t="s">
        <v>18</v>
      </c>
    </row>
    <row r="8" spans="1:5" x14ac:dyDescent="0.25">
      <c r="A8" s="4" t="s">
        <v>29</v>
      </c>
      <c r="B8" s="4" t="s">
        <v>32</v>
      </c>
      <c r="C8" s="4" t="s">
        <v>18</v>
      </c>
      <c r="D8" s="5" t="s">
        <v>18</v>
      </c>
      <c r="E8" s="4" t="s">
        <v>18</v>
      </c>
    </row>
    <row r="9" spans="1:5" x14ac:dyDescent="0.25">
      <c r="A9" s="6" t="s">
        <v>29</v>
      </c>
      <c r="B9" s="6" t="s">
        <v>33</v>
      </c>
      <c r="C9" s="6" t="s">
        <v>18</v>
      </c>
      <c r="D9" s="7" t="s">
        <v>18</v>
      </c>
      <c r="E9" s="6" t="s">
        <v>18</v>
      </c>
    </row>
    <row r="10" spans="1:5" x14ac:dyDescent="0.25">
      <c r="A10" s="4" t="s">
        <v>34</v>
      </c>
      <c r="B10" s="4" t="s">
        <v>35</v>
      </c>
      <c r="C10" s="4" t="s">
        <v>18</v>
      </c>
      <c r="D10" s="5" t="s">
        <v>18</v>
      </c>
      <c r="E10" s="4" t="s">
        <v>18</v>
      </c>
    </row>
    <row r="11" spans="1:5" x14ac:dyDescent="0.25">
      <c r="A11" s="6" t="s">
        <v>34</v>
      </c>
      <c r="B11" s="6" t="s">
        <v>36</v>
      </c>
      <c r="C11" s="6" t="s">
        <v>18</v>
      </c>
      <c r="D11" s="7" t="s">
        <v>18</v>
      </c>
      <c r="E11" s="6" t="s">
        <v>18</v>
      </c>
    </row>
    <row r="12" spans="1:5" x14ac:dyDescent="0.25">
      <c r="A12" s="4" t="s">
        <v>34</v>
      </c>
      <c r="B12" s="4" t="s">
        <v>37</v>
      </c>
      <c r="C12" s="4" t="s">
        <v>18</v>
      </c>
      <c r="D12" s="5" t="s">
        <v>18</v>
      </c>
      <c r="E12" s="4" t="s">
        <v>18</v>
      </c>
    </row>
    <row r="13" spans="1:5" x14ac:dyDescent="0.25">
      <c r="A13" s="6" t="s">
        <v>38</v>
      </c>
      <c r="B13" s="6" t="s">
        <v>39</v>
      </c>
      <c r="C13" s="6" t="s">
        <v>18</v>
      </c>
      <c r="D13" s="7" t="s">
        <v>18</v>
      </c>
      <c r="E13" s="6" t="s">
        <v>18</v>
      </c>
    </row>
    <row r="14" spans="1:5" x14ac:dyDescent="0.25">
      <c r="A14" s="4" t="s">
        <v>38</v>
      </c>
      <c r="B14" s="4" t="s">
        <v>40</v>
      </c>
      <c r="C14" s="4" t="s">
        <v>18</v>
      </c>
      <c r="D14" s="5" t="s">
        <v>18</v>
      </c>
      <c r="E14" s="4" t="s">
        <v>18</v>
      </c>
    </row>
    <row r="15" spans="1:5" x14ac:dyDescent="0.25">
      <c r="A15" s="6" t="s">
        <v>38</v>
      </c>
      <c r="B15" s="6" t="s">
        <v>41</v>
      </c>
      <c r="C15" s="6" t="s">
        <v>18</v>
      </c>
      <c r="D15" s="7" t="s">
        <v>18</v>
      </c>
      <c r="E15" s="6" t="s">
        <v>18</v>
      </c>
    </row>
    <row r="16" spans="1:5" x14ac:dyDescent="0.25">
      <c r="A16" s="4" t="s">
        <v>38</v>
      </c>
      <c r="B16" s="4" t="s">
        <v>42</v>
      </c>
      <c r="C16" s="4" t="s">
        <v>18</v>
      </c>
      <c r="D16" s="5" t="s">
        <v>18</v>
      </c>
      <c r="E16" s="4" t="s">
        <v>18</v>
      </c>
    </row>
    <row r="17" spans="1:5" x14ac:dyDescent="0.25">
      <c r="A17" s="6" t="s">
        <v>43</v>
      </c>
      <c r="B17" s="6" t="s">
        <v>44</v>
      </c>
      <c r="C17" s="6" t="s">
        <v>18</v>
      </c>
      <c r="D17" s="7" t="s">
        <v>18</v>
      </c>
      <c r="E17" s="6" t="s">
        <v>18</v>
      </c>
    </row>
    <row r="18" spans="1:5" x14ac:dyDescent="0.25">
      <c r="A18" s="4" t="s">
        <v>43</v>
      </c>
      <c r="B18" s="4" t="s">
        <v>45</v>
      </c>
      <c r="C18" s="4" t="s">
        <v>18</v>
      </c>
      <c r="D18" s="5" t="s">
        <v>18</v>
      </c>
      <c r="E18" s="4" t="s">
        <v>18</v>
      </c>
    </row>
    <row r="19" spans="1:5" x14ac:dyDescent="0.25">
      <c r="A19" s="6" t="s">
        <v>43</v>
      </c>
      <c r="B19" s="6" t="s">
        <v>46</v>
      </c>
      <c r="C19" s="6" t="s">
        <v>18</v>
      </c>
      <c r="D19" s="7" t="s">
        <v>18</v>
      </c>
      <c r="E19" s="6" t="s">
        <v>18</v>
      </c>
    </row>
    <row r="20" spans="1:5" x14ac:dyDescent="0.25">
      <c r="A20" s="4" t="s">
        <v>43</v>
      </c>
      <c r="B20" s="4" t="s">
        <v>47</v>
      </c>
      <c r="C20" s="4" t="s">
        <v>18</v>
      </c>
      <c r="D20" s="5" t="s">
        <v>18</v>
      </c>
      <c r="E20" s="4" t="s">
        <v>18</v>
      </c>
    </row>
    <row r="21" ht="28" customHeight="1" spans="1:5" x14ac:dyDescent="0.25">
      <c r="A21" s="8" t="s">
        <v>18</v>
      </c>
      <c r="B21" s="8" t="s">
        <v>48</v>
      </c>
      <c r="C21" s="8" t="s">
        <v>18</v>
      </c>
      <c r="D21" s="9">
        <f>SUM(D2:D20)</f>
      </c>
      <c r="E21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35" customWidth="1"/>
    <col min="2" max="6" width="14" style="1" customWidth="1"/>
  </cols>
  <sheetData>
    <row r="1" ht="28" customHeight="1" spans="1:6" x14ac:dyDescent="0.25">
      <c r="A1" s="2" t="s">
        <v>18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</row>
    <row r="2" spans="1:6" x14ac:dyDescent="0.25">
      <c r="A2" s="4" t="s">
        <v>54</v>
      </c>
      <c r="B2" s="5">
        <v>600</v>
      </c>
      <c r="C2" s="5" t="s">
        <v>18</v>
      </c>
      <c r="D2" s="5" t="s">
        <v>18</v>
      </c>
      <c r="E2" s="5" t="s">
        <v>18</v>
      </c>
      <c r="F2" s="5">
        <f>SUM(B2:E2)</f>
      </c>
    </row>
    <row r="3" spans="1:6" x14ac:dyDescent="0.25">
      <c r="A3" s="6" t="s">
        <v>55</v>
      </c>
      <c r="B3" s="7">
        <v>84</v>
      </c>
      <c r="C3" s="7" t="s">
        <v>18</v>
      </c>
      <c r="D3" s="7" t="s">
        <v>18</v>
      </c>
      <c r="E3" s="7" t="s">
        <v>18</v>
      </c>
      <c r="F3" s="7">
        <f>SUM(B3:E3)</f>
      </c>
    </row>
    <row r="4" spans="1:6" x14ac:dyDescent="0.25">
      <c r="A4" s="4" t="s">
        <v>56</v>
      </c>
      <c r="B4" s="5">
        <v>50</v>
      </c>
      <c r="C4" s="5" t="s">
        <v>18</v>
      </c>
      <c r="D4" s="5" t="s">
        <v>18</v>
      </c>
      <c r="E4" s="5" t="s">
        <v>18</v>
      </c>
      <c r="F4" s="5">
        <f>SUM(B4:E4)</f>
      </c>
    </row>
    <row r="5" spans="1:6" x14ac:dyDescent="0.25">
      <c r="A5" s="6" t="s">
        <v>57</v>
      </c>
      <c r="B5" s="7">
        <f>B2-B3-B4</f>
      </c>
      <c r="C5" s="7">
        <f>C2-C3-C4</f>
      </c>
      <c r="D5" s="7">
        <f>D2-D3-D4</f>
      </c>
      <c r="E5" s="7">
        <f>E2-E3-E4</f>
      </c>
      <c r="F5" s="7">
        <f>SUM(B5:E5)</f>
      </c>
    </row>
    <row r="7" spans="1:6" x14ac:dyDescent="0.25">
      <c r="A7" s="6" t="s">
        <v>58</v>
      </c>
      <c r="B7" s="10">
        <v>0.12</v>
      </c>
      <c r="C7" s="10">
        <v>0.12</v>
      </c>
      <c r="D7" s="10">
        <v>0.12</v>
      </c>
      <c r="E7" s="10">
        <v>0.12</v>
      </c>
      <c r="F7" s="7" t="s">
        <v>18</v>
      </c>
    </row>
    <row r="8" spans="1:6" x14ac:dyDescent="0.25">
      <c r="A8" s="4" t="s">
        <v>59</v>
      </c>
      <c r="B8" s="5">
        <f>B5*B7</f>
      </c>
      <c r="C8" s="5">
        <f>C5*C7</f>
      </c>
      <c r="D8" s="5">
        <f>D5*D7</f>
      </c>
      <c r="E8" s="5">
        <f>E5*E7</f>
      </c>
      <c r="F8" s="5">
        <f>SUM(B8:E8)</f>
      </c>
    </row>
    <row r="9" spans="1:6" x14ac:dyDescent="0.25">
      <c r="A9" s="6" t="s">
        <v>60</v>
      </c>
      <c r="B9" s="7">
        <f>B5*0.153</f>
      </c>
      <c r="C9" s="7">
        <f>C5*0.153</f>
      </c>
      <c r="D9" s="7">
        <f>D5*0.153</f>
      </c>
      <c r="E9" s="7">
        <f>E5*0.153</f>
      </c>
      <c r="F9" s="7">
        <f>SUM(B9:E9)</f>
      </c>
    </row>
    <row r="10" spans="1:6" x14ac:dyDescent="0.25">
      <c r="A10" s="4" t="s">
        <v>61</v>
      </c>
      <c r="B10" s="11">
        <v>0.05</v>
      </c>
      <c r="C10" s="11">
        <v>0.05</v>
      </c>
      <c r="D10" s="11">
        <v>0.05</v>
      </c>
      <c r="E10" s="11">
        <v>0.05</v>
      </c>
      <c r="F10" s="5" t="s">
        <v>18</v>
      </c>
    </row>
    <row r="11" spans="1:6" x14ac:dyDescent="0.25">
      <c r="A11" s="6" t="s">
        <v>62</v>
      </c>
      <c r="B11" s="7">
        <f>B5*B10</f>
      </c>
      <c r="C11" s="7">
        <f>C5*C10</f>
      </c>
      <c r="D11" s="7">
        <f>D5*D10</f>
      </c>
      <c r="E11" s="7">
        <f>E5*E10</f>
      </c>
      <c r="F11" s="7">
        <f>SUM(B11:E11)</f>
      </c>
    </row>
    <row r="13" spans="1:6" x14ac:dyDescent="0.25">
      <c r="A13" s="6" t="s">
        <v>63</v>
      </c>
      <c r="B13" s="7">
        <f>B8+B9+B11</f>
      </c>
      <c r="C13" s="7">
        <f>C8+C9+C11</f>
      </c>
      <c r="D13" s="7">
        <f>D8+D9+D11</f>
      </c>
      <c r="E13" s="7">
        <f>E8+E9+E11</f>
      </c>
      <c r="F13" s="7">
        <f>SUM(B13:E13)</f>
      </c>
    </row>
    <row r="15" spans="1:6" x14ac:dyDescent="0.25">
      <c r="A15" s="6" t="s">
        <v>64</v>
      </c>
      <c r="B15" s="7" t="s">
        <v>65</v>
      </c>
      <c r="C15" s="7" t="s">
        <v>66</v>
      </c>
      <c r="D15" s="7" t="s">
        <v>67</v>
      </c>
      <c r="E15" s="7" t="s">
        <v>68</v>
      </c>
      <c r="F15" s="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Mileage Log</vt:lpstr>
      <vt:lpstr>Deduction Checklist</vt:lpstr>
      <vt:lpstr>Quarterly Tax Estimator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Plasma Pay Calculator</dc:creator>
  <dc:title/>
  <dc:subject/>
  <dc:description/>
  <cp:keywords/>
  <cp:category/>
  <cp:lastModifiedBy>Unknown</cp:lastModifiedBy>
  <dcterms:created xsi:type="dcterms:W3CDTF">2026-03-19T15:27:22Z</dcterms:created>
  <dcterms:modified xsi:type="dcterms:W3CDTF">2026-03-19T15:27:22Z</dcterms:modified>
</cp:coreProperties>
</file>